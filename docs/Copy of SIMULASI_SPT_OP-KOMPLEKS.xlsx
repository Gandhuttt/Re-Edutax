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BREVET PAJAK\Materi\"/>
    </mc:Choice>
  </mc:AlternateContent>
  <xr:revisionPtr revIDLastSave="0" documentId="13_ncr:1_{919E527A-BB9D-4286-BF00-CE9DD573858D}" xr6:coauthVersionLast="47" xr6:coauthVersionMax="47" xr10:uidLastSave="{00000000-0000-0000-0000-000000000000}"/>
  <bookViews>
    <workbookView xWindow="-108" yWindow="-108" windowWidth="23256" windowHeight="12456" xr2:uid="{40D49890-0E6D-46EC-80FB-D3DDCBAC951A}"/>
  </bookViews>
  <sheets>
    <sheet name="Induk" sheetId="6" r:id="rId1"/>
    <sheet name="LAMP 1" sheetId="1" r:id="rId2"/>
    <sheet name="LAMP 1  HAL 2" sheetId="9" r:id="rId3"/>
    <sheet name="LAMP 1  HAL 3" sheetId="2" r:id="rId4"/>
    <sheet name="LAMP 2" sheetId="3" r:id="rId5"/>
    <sheet name="LAMP 3A" sheetId="4" r:id="rId6"/>
    <sheet name="LAMP 3A-4" sheetId="5" r:id="rId7"/>
    <sheet name="LAMP 3B" sheetId="8" r:id="rId8"/>
    <sheet name="LAMP 3C" sheetId="10" r:id="rId9"/>
    <sheet name="Sheet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6" i="6" l="1"/>
  <c r="R85" i="6"/>
  <c r="G27" i="2"/>
  <c r="R65" i="6"/>
  <c r="R63" i="6"/>
  <c r="D20" i="4"/>
  <c r="R23" i="6"/>
  <c r="G13" i="2"/>
  <c r="J15" i="1"/>
  <c r="E5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5" i="4"/>
  <c r="G18" i="2"/>
  <c r="D21" i="4"/>
  <c r="K21" i="4" s="1"/>
  <c r="R46" i="6" s="1"/>
  <c r="K34" i="10"/>
  <c r="K33" i="10"/>
  <c r="K32" i="10"/>
  <c r="H10" i="10"/>
  <c r="H11" i="10"/>
  <c r="H12" i="10"/>
  <c r="K12" i="10"/>
  <c r="K10" i="10"/>
  <c r="K11" i="10"/>
  <c r="H9" i="10"/>
  <c r="K9" i="10"/>
  <c r="H8" i="10"/>
  <c r="K8" i="10"/>
  <c r="K7" i="10"/>
  <c r="H7" i="10"/>
  <c r="K63" i="9"/>
  <c r="R121" i="6" s="1"/>
  <c r="K50" i="4"/>
  <c r="E38" i="4"/>
  <c r="E27" i="4"/>
  <c r="D7" i="4"/>
  <c r="G14" i="2"/>
  <c r="R56" i="6" l="1"/>
  <c r="G28" i="8"/>
  <c r="F29" i="8"/>
  <c r="E29" i="8"/>
  <c r="P25" i="8"/>
  <c r="P28" i="8" s="1"/>
  <c r="P29" i="8" s="1"/>
  <c r="O25" i="8"/>
  <c r="O28" i="8" s="1"/>
  <c r="O29" i="8" s="1"/>
  <c r="N25" i="8"/>
  <c r="N28" i="8" s="1"/>
  <c r="N29" i="8" s="1"/>
  <c r="M25" i="8"/>
  <c r="M28" i="8" s="1"/>
  <c r="M29" i="8" s="1"/>
  <c r="L25" i="8"/>
  <c r="L28" i="8" s="1"/>
  <c r="L29" i="8" s="1"/>
  <c r="K25" i="8"/>
  <c r="K28" i="8" s="1"/>
  <c r="K29" i="8" s="1"/>
  <c r="J25" i="8"/>
  <c r="J28" i="8" s="1"/>
  <c r="J29" i="8" s="1"/>
  <c r="I25" i="8"/>
  <c r="I28" i="8" s="1"/>
  <c r="I29" i="8" s="1"/>
  <c r="H25" i="8"/>
  <c r="H28" i="8" s="1"/>
  <c r="H29" i="8" s="1"/>
  <c r="G25" i="8"/>
  <c r="F25" i="8"/>
  <c r="E25" i="8"/>
  <c r="E26" i="8" s="1"/>
  <c r="F26" i="8" s="1"/>
  <c r="Q25" i="8"/>
  <c r="Q26" i="8" s="1"/>
  <c r="G29" i="2"/>
  <c r="R73" i="6" s="1"/>
  <c r="R62" i="6"/>
  <c r="R64" i="6" l="1"/>
  <c r="G26" i="8"/>
  <c r="H26" i="8" s="1"/>
  <c r="I26" i="8" s="1"/>
  <c r="J26" i="8" s="1"/>
  <c r="K26" i="8" s="1"/>
  <c r="L26" i="8" s="1"/>
  <c r="M26" i="8" s="1"/>
  <c r="N26" i="8" s="1"/>
  <c r="O26" i="8" s="1"/>
  <c r="P26" i="8" s="1"/>
  <c r="R69" i="6" l="1"/>
  <c r="G29" i="8"/>
  <c r="Q29" i="8" s="1"/>
  <c r="Q28" i="8"/>
  <c r="R91" i="6" l="1"/>
</calcChain>
</file>

<file path=xl/sharedStrings.xml><?xml version="1.0" encoding="utf-8"?>
<sst xmlns="http://schemas.openxmlformats.org/spreadsheetml/2006/main" count="845" uniqueCount="495">
  <si>
    <t>A.</t>
  </si>
  <si>
    <t>HARTA PADA AKHIR TAHUN PAJAK</t>
  </si>
  <si>
    <t>KAS DAN SETARA KAS</t>
  </si>
  <si>
    <t>KODE</t>
  </si>
  <si>
    <t>DESKRIPSI</t>
  </si>
  <si>
    <t>NOMOR AKUN</t>
  </si>
  <si>
    <t>ATAS NAMA</t>
  </si>
  <si>
    <t>NAMA BANK/INSTITUSI</t>
  </si>
  <si>
    <t>LOKASI HARTA</t>
  </si>
  <si>
    <t>TAHUN PEROLEHAN</t>
  </si>
  <si>
    <t>SALDO</t>
  </si>
  <si>
    <t>KETERANGAN</t>
  </si>
  <si>
    <t>PIUTANG</t>
  </si>
  <si>
    <t>LOKASI PENERIMA PINJAMAN</t>
  </si>
  <si>
    <t>PENERIMA PINJAMAN</t>
  </si>
  <si>
    <t>SALDO PIUTANG SAAT INI</t>
  </si>
  <si>
    <t>TAHUN DIMULAI</t>
  </si>
  <si>
    <t>NILAI PIUTANG</t>
  </si>
  <si>
    <t>INVESTASI/SEKURITAS</t>
  </si>
  <si>
    <t>BANK/INSTITUSI/PENERIMA INVESTASI</t>
  </si>
  <si>
    <t>HARGA PEROLEHAN</t>
  </si>
  <si>
    <t>NILAI SAAT INI</t>
  </si>
  <si>
    <t>C.</t>
  </si>
  <si>
    <t>DAFTAR ANGGOTA KELUARGA</t>
  </si>
  <si>
    <t>NAMA</t>
  </si>
  <si>
    <t>NIK</t>
  </si>
  <si>
    <t>TANGGAL LAHIR</t>
  </si>
  <si>
    <t>HUBUNGAN DENGAN WAJIB PAJAK</t>
  </si>
  <si>
    <t>PEKERJAAN</t>
  </si>
  <si>
    <t>D.</t>
  </si>
  <si>
    <t>PENGHASILAN NETO DALAM NEGERI DARI PEKERJAAN</t>
  </si>
  <si>
    <t>NO</t>
  </si>
  <si>
    <t>NAMA PEMBERI KERJA</t>
  </si>
  <si>
    <t>NOMOR IDENTITAS PEMBERI KERJA</t>
  </si>
  <si>
    <t>PENGHASILAN BRUTO</t>
  </si>
  <si>
    <t>PENGURANG PENGHASILAN BRUTO/BIAYA</t>
  </si>
  <si>
    <t>PENGHASILAN NETO</t>
  </si>
  <si>
    <t>JUMLAH TABEL D</t>
  </si>
  <si>
    <t>E.</t>
  </si>
  <si>
    <t>DAFTAR BUKTI PEMOTONGAN/PEMUNGUTAN PPh</t>
  </si>
  <si>
    <t>PEMOTONG/PEMUNGUT PPh</t>
  </si>
  <si>
    <t>BUKTI PEMOTONGAN/PEMUNGUTAN</t>
  </si>
  <si>
    <t>JENIS PAJAK</t>
  </si>
  <si>
    <t>JUMLAH PPh YANG DIPOTONG/DIPUNGUT</t>
  </si>
  <si>
    <t>JUMLAH KREDIT PAJAK DALAM NEGERI</t>
  </si>
  <si>
    <t>KREDIT PAJAK ATAS PENGHASILAN DARI LUAR NEGERI</t>
  </si>
  <si>
    <t>JUMLAH TABEL E</t>
  </si>
  <si>
    <t>PENGHASILAN YANG DIKENAKAN PAJAK PENGHASILAN BERSIFAT FINAL</t>
  </si>
  <si>
    <t>JENIS PENGHASILAN</t>
  </si>
  <si>
    <t>DASAR PENGENAAN PAJAK</t>
  </si>
  <si>
    <t>PPh TERUTANG</t>
  </si>
  <si>
    <t>JUMLAH TABEL A</t>
  </si>
  <si>
    <t>B.</t>
  </si>
  <si>
    <t>PENGHASILAN YANG TIDAK TERMASUK OBJEK PAJAK</t>
  </si>
  <si>
    <t>SUMBER PENGHASILAN</t>
  </si>
  <si>
    <t>NIK/NPWP</t>
  </si>
  <si>
    <t>JUMLAH TABEL B</t>
  </si>
  <si>
    <t>PENGHASILAN NETO LUAR NEGERI</t>
  </si>
  <si>
    <t>A1.</t>
  </si>
  <si>
    <t>LAPORAN LABA RUGI</t>
  </si>
  <si>
    <t>AKUN</t>
  </si>
  <si>
    <t>NAMA AKUN</t>
  </si>
  <si>
    <t xml:space="preserve">NILAI </t>
  </si>
  <si>
    <t>KOMERSIAL</t>
  </si>
  <si>
    <t>TIDAK TERMASUK</t>
  </si>
  <si>
    <t>OBJEK PAJAK</t>
  </si>
  <si>
    <t>DIKENAKAN</t>
  </si>
  <si>
    <t>PPh FINAL</t>
  </si>
  <si>
    <t>TIDAK FINAL</t>
  </si>
  <si>
    <t>PENYESUAIAN</t>
  </si>
  <si>
    <t>FISKAL POSITIF</t>
  </si>
  <si>
    <t>FISKAL NEGATIF</t>
  </si>
  <si>
    <t>PENYESUAIAN FISKAL</t>
  </si>
  <si>
    <t>NILAI FISKAL</t>
  </si>
  <si>
    <t>PENDAPATAN</t>
  </si>
  <si>
    <t>PENDAPATAN JASA</t>
  </si>
  <si>
    <t>BIAYA POKOK JASA</t>
  </si>
  <si>
    <t>LABA KOTOR</t>
  </si>
  <si>
    <t>BEBAN USAHA</t>
  </si>
  <si>
    <t>BEBAN GAJI, TUNJANGAN,DLL</t>
  </si>
  <si>
    <t>BEBAN TRANSPORTASI</t>
  </si>
  <si>
    <t>BEBAN PENYUSUTAN &amp; AMAORTISASI</t>
  </si>
  <si>
    <t>BEBAN SEWA</t>
  </si>
  <si>
    <t>BEBAN BUNGA</t>
  </si>
  <si>
    <t>BEBAN SEHUBUNGAN DGN JASA</t>
  </si>
  <si>
    <t>BEBAN PIUTANG TDK TERTAGIH</t>
  </si>
  <si>
    <t>BEBAN PROMOSI/PEMASARAN</t>
  </si>
  <si>
    <t>BEBAN ENTERTAINMENT</t>
  </si>
  <si>
    <t>BEBAN UMUM DAN ADM</t>
  </si>
  <si>
    <t>BEBAN USAH LAINNYA</t>
  </si>
  <si>
    <t>JUMLAH BEBAN USAHA</t>
  </si>
  <si>
    <t>LABA (RUGI) SEBELUM PAJAK</t>
  </si>
  <si>
    <t>PINDAHKAN LABA SEBELUM PAJAK KE INDUK BAGIAN B ANGKA 1 HURUF a</t>
  </si>
  <si>
    <t>A2.</t>
  </si>
  <si>
    <t>LAPORAN POSISI KEUANGAN (NERACA)</t>
  </si>
  <si>
    <t>ASET LANCAR</t>
  </si>
  <si>
    <t>INVESTASI</t>
  </si>
  <si>
    <t>PIUTANG USAHA-PIHAK KETIGA</t>
  </si>
  <si>
    <t>PIUTANG USAHA-PIHAK YANG MEMPUNYAI HUB ISTIMEWA</t>
  </si>
  <si>
    <t>PIUTANG LAINNYA-PIHAK KETIGA</t>
  </si>
  <si>
    <t>PIUTANG LAINNYA-PIHAK YG MEMPUNYAI HUB ISTIMEWA</t>
  </si>
  <si>
    <t>DIKURANGI: CADANGAN PIUTANG TAK TERTAGIH</t>
  </si>
  <si>
    <t>PERSEDIAAN</t>
  </si>
  <si>
    <t>BEBAN DIBAYAR DI MUKA</t>
  </si>
  <si>
    <t>UANG MUKA</t>
  </si>
  <si>
    <t>PAJAK DIBAYAR DI MUKA</t>
  </si>
  <si>
    <t>ASET LANCAR LAINNYA</t>
  </si>
  <si>
    <t>ASET TIDAK LANCAR</t>
  </si>
  <si>
    <t>PIUTANG JANGKA PANJANG</t>
  </si>
  <si>
    <t>TANAH DAN BANGUNAN</t>
  </si>
  <si>
    <t>DIKURANGI: AKUMULASI PENYUSUTAN</t>
  </si>
  <si>
    <t>ASET TETAP LAINNYA</t>
  </si>
  <si>
    <t>INVESTASI PADA PERUSAHAAN ASOSIASI</t>
  </si>
  <si>
    <t>INVESTASI JANGKA PANJANG LAINNYA</t>
  </si>
  <si>
    <t>ASET TAK BERWUJUD-NET</t>
  </si>
  <si>
    <t>ASET PAJAK TANGGUHAN</t>
  </si>
  <si>
    <t>ASET TIDAK LANCAR LAINNYA</t>
  </si>
  <si>
    <t>JUMLAH ASET</t>
  </si>
  <si>
    <t>LIABILITAS JANGKA PENDEK</t>
  </si>
  <si>
    <t>UTANG USAHA-PIHAK KETIGA</t>
  </si>
  <si>
    <t>UTANG USAHA-PIHAK YG MEMPUNYAI HUB ISTIMEWA</t>
  </si>
  <si>
    <t>UTANG BUNGA</t>
  </si>
  <si>
    <t>UTANG PAJAK</t>
  </si>
  <si>
    <t>UTANG DIVIDEN</t>
  </si>
  <si>
    <t>BEBAN YANG MASIH HARUS DIBAYAR</t>
  </si>
  <si>
    <t>UTANG BABK JANGKA PENDEK</t>
  </si>
  <si>
    <t>UTANG JANGKA PANJANG YG JATUH TEMPO DLM SATU TAHUN</t>
  </si>
  <si>
    <t>LIABILITAS JANGKA PENDEK LAINNYA</t>
  </si>
  <si>
    <t>LIABILITAS JANGKA PANJANG</t>
  </si>
  <si>
    <t>UTANG BANK JANGKA PANJANG</t>
  </si>
  <si>
    <t>UTANG JANGKA PANJANG-PIHAK KETIGA</t>
  </si>
  <si>
    <t>UTANG JANGKA PANJANG-PIHAK YG MEMPUNYAI HUB ISTIMEWA</t>
  </si>
  <si>
    <t>LIABILITAS PAJAK TANGGUHAN</t>
  </si>
  <si>
    <t>LIABILITAS JANGKA PANJAN LAINNYA</t>
  </si>
  <si>
    <t>JUMLAH LIABILITAS</t>
  </si>
  <si>
    <t>EKUITAS</t>
  </si>
  <si>
    <t>MODAL SAHAM</t>
  </si>
  <si>
    <t>TAMBAHAN MODAL DISETOR</t>
  </si>
  <si>
    <t>SALDO LABA</t>
  </si>
  <si>
    <t>EKUITAS LAINNYA</t>
  </si>
  <si>
    <t>JUMLAH EKUITAS</t>
  </si>
  <si>
    <t>JUMLAH LIABILITAS DAN EKUITAS</t>
  </si>
  <si>
    <t>PENGHASILAN NETO DALAM NEGERI DARI USAHA DAN/ATAU PEKERJAAN BEBAS BERDASARKAN PENCATATAN</t>
  </si>
  <si>
    <t>NAMA TEMPAT KEGIATAN USAHA</t>
  </si>
  <si>
    <t>JENIS USAHA/PEKERJAAN BEBAS</t>
  </si>
  <si>
    <t>PEREDARAN BRUTO</t>
  </si>
  <si>
    <t>NORMA (%)</t>
  </si>
  <si>
    <t>PINDAHKAN JUMLAH TABEL A KE INDUK BAGIAN B ANGKA 1 HURUF b</t>
  </si>
  <si>
    <t>PENGHASILAN NETO DALAM NEGERI LAINNYA</t>
  </si>
  <si>
    <t>PINDAHKAN JUMLAH TABEL B KE INDUK BAGIAN B ANGKA 1 HURUF c</t>
  </si>
  <si>
    <t>TAHUN PAJAK/BAGIAN TAHUN PAJAK</t>
  </si>
  <si>
    <t>PERIODE</t>
  </si>
  <si>
    <t>STATUS</t>
  </si>
  <si>
    <t>METODE PEMBUKUAN</t>
  </si>
  <si>
    <t>TAHUN PAJAK</t>
  </si>
  <si>
    <t>BULAN</t>
  </si>
  <si>
    <t xml:space="preserve">BULAN </t>
  </si>
  <si>
    <t>NORMAL</t>
  </si>
  <si>
    <t>PEMBUKUAN STELSEL AKRUAL</t>
  </si>
  <si>
    <t>BAGIAN TAHUN PAJAK</t>
  </si>
  <si>
    <t>MULAI</t>
  </si>
  <si>
    <t>AKHIR</t>
  </si>
  <si>
    <t>PEMBETULAN</t>
  </si>
  <si>
    <t>KEGIATAN USAHA</t>
  </si>
  <si>
    <t>PEMBUKUAN STELSEL KAS</t>
  </si>
  <si>
    <t>S.D.</t>
  </si>
  <si>
    <t>PEKERJAAN BEBAS</t>
  </si>
  <si>
    <t>PENCATATAN</t>
  </si>
  <si>
    <t xml:space="preserve">A. IDENTITAS WAJIB PAJAK </t>
  </si>
  <si>
    <t>1.</t>
  </si>
  <si>
    <t>7.</t>
  </si>
  <si>
    <t>STATUS KEWAJIBAN PERPAJAKAN SUAMI DAN ISTRI</t>
  </si>
  <si>
    <t>2.</t>
  </si>
  <si>
    <t xml:space="preserve">PISAH HARTA (PH) </t>
  </si>
  <si>
    <t>MEMILIH TERPISAH (MT)</t>
  </si>
  <si>
    <t>3.</t>
  </si>
  <si>
    <t>JENIS ID</t>
  </si>
  <si>
    <t>KTP</t>
  </si>
  <si>
    <t>KITAS</t>
  </si>
  <si>
    <t>PASPOR</t>
  </si>
  <si>
    <t xml:space="preserve">(Jika status kewajiban perpajakan anda dengan pasnagan adalah PH </t>
  </si>
  <si>
    <t>4.</t>
  </si>
  <si>
    <t>NO. ID</t>
  </si>
  <si>
    <t>atau MT, anda diwajibkan mengisi bagian ini dan lampiran 4 bagian B)</t>
  </si>
  <si>
    <t>5.</t>
  </si>
  <si>
    <t>NO. TELEPON</t>
  </si>
  <si>
    <t>8.</t>
  </si>
  <si>
    <t>NIK/NPWP SUAMI/ISTRI</t>
  </si>
  <si>
    <t>6.</t>
  </si>
  <si>
    <t>EMAIL</t>
  </si>
  <si>
    <t>a.</t>
  </si>
  <si>
    <t>Tidak. (Lanjut ke pertanyaan selanjutnya)</t>
  </si>
  <si>
    <t xml:space="preserve">Ya. (Isi lampiran 1 bagian D lalu ke pertanyaan selanjutnya) </t>
  </si>
  <si>
    <t xml:space="preserve">b. </t>
  </si>
  <si>
    <t>1)</t>
  </si>
  <si>
    <t>APAKAH ANDA MENERIMA PENGHASILAN DALAM NEGRI DARI USAHA DAN/ATAU PEKERJAAN</t>
  </si>
  <si>
    <t>BEBAS?</t>
  </si>
  <si>
    <t>Tidak. (Lanjut ke pertanyaan 1c)</t>
  </si>
  <si>
    <t xml:space="preserve">Ya. (Lanjut ke pertanyaan slenajutnya </t>
  </si>
  <si>
    <t>2)</t>
  </si>
  <si>
    <t>APAKAH ANDA TERMASUK WAJIB PAJAK ORANG PRIBADI YANG MEMILIKI PEREDARAN BRUTO</t>
  </si>
  <si>
    <t>TERTENTU ATAU ORANG PRIBADI PENGUSAHAN TERTENTU (OPPT)</t>
  </si>
  <si>
    <t>Ya. Saya termasuk wajib pajak orang pribadi yang memiliki peredaran bruto tertentu yang dikenai pajak</t>
  </si>
  <si>
    <t>bersifat final. (Isi Lampiran 3B bagian A, lalu ke pertanyaan selanjutnya)</t>
  </si>
  <si>
    <t>Ya. Saya termasuk wajib pajak OPPT. (Isi lampiran 3B bagian B, lalu ke pertanyaan selanjutnya)</t>
  </si>
  <si>
    <t>3)</t>
  </si>
  <si>
    <t>APAKAH ANDA MENGGUNAKAN NORMA DALAM MENGHITUNG PENGHASILAN NETO?</t>
  </si>
  <si>
    <t>Tidak. Saya menyelnggarakan pembukuan. (Lanjut ke pertanyaan selanjutnya)</t>
  </si>
  <si>
    <t xml:space="preserve">Tidak. Saya hanya menerima penghasilan dari usaha yang dikenakan pajak bersifat final dan </t>
  </si>
  <si>
    <t>tidak menyelenggarakn pembukuan. (Lanjut ke pertanyaan 1c)</t>
  </si>
  <si>
    <t xml:space="preserve">Ya. Saya berhak menggunakan norma perhitungan penghasilan neto. </t>
  </si>
  <si>
    <t>(Isi lampiran 3B bagian C, Lampiran 3A-4 bagian A, lalu ke pertanyaan 1c)</t>
  </si>
  <si>
    <t>4)</t>
  </si>
  <si>
    <t xml:space="preserve">ANDA MENYELNGGARAKAN PEMBUKUAN. SEBUTKAN SEKTOR USAHA YANG ANDA LAKUKAN </t>
  </si>
  <si>
    <t>Dagang. (Isi lampiran 3A-1, lalu ke pertanyaan selanjutnya)</t>
  </si>
  <si>
    <t>Jasa. (Isi lampiran 3A-2, lalu ke pertanyaan selanjutnya)</t>
  </si>
  <si>
    <t>Industri. (Isi lampiran 3A-3, lalu ke pertanyaan selanjutnya)</t>
  </si>
  <si>
    <t>5)</t>
  </si>
  <si>
    <t>PENGHASILAN NETO DARI USAHA DAN/ATAU PEKERJAAN BEBAS</t>
  </si>
  <si>
    <t>c.</t>
  </si>
  <si>
    <t>APAKAH ANDA MENERIMA PENGHASILAN DALAM NEGERI LAINNYA?</t>
  </si>
  <si>
    <t>Tidak. (Lanjut ke pertanyaan selanjutnya</t>
  </si>
  <si>
    <t xml:space="preserve">Ya. (Isi lampiran 2 bagian C, lalu ke pertanyaan selanjutnya </t>
  </si>
  <si>
    <t xml:space="preserve">d. </t>
  </si>
  <si>
    <t>APAKAH ANDA MENERIMA PENGHASILAN LUAR NEGERI?</t>
  </si>
  <si>
    <t xml:space="preserve">Ya. (Isi lampiran 2 bagian C, lalu ke pertanyaan selanjutnya) </t>
  </si>
  <si>
    <t>PENGHASILAN NETO SETAHUN</t>
  </si>
  <si>
    <t>(1a + 1b + 1c + 1d)</t>
  </si>
  <si>
    <t>APAKAH TERDAPAT PENGURANGAN PENGHASILAN NETO SEPERTI KOMPENSASI KERUGIAN ATAU</t>
  </si>
  <si>
    <t xml:space="preserve"> ZAKAT/SUMABANGAN KEAGAMAAN YANG BERSIFAT WAJIB YANG DIBAYAR SELAIN YANG TELAH </t>
  </si>
  <si>
    <t>DIPERHITUNGKAN DALAM FORMULIR BPA1 DAN/ATAU BPA2?</t>
  </si>
  <si>
    <t>Ya. (Isi lampiran 5 bagian A dan/atau bagian B, lalu ke pertanyaan selanjutnya)</t>
  </si>
  <si>
    <t>PENGHASILAN NETO SETELAH PENGURANGAN PENGHASILAN NETO</t>
  </si>
  <si>
    <t>(2 -  3)</t>
  </si>
  <si>
    <t>PENGHASILAN TIDAK KENA PAJAK</t>
  </si>
  <si>
    <t>PENGHASILAN KENA PAJAK</t>
  </si>
  <si>
    <t>(4 - 5)</t>
  </si>
  <si>
    <t xml:space="preserve">APAKAH TERDAPAT PENGURANGAN PPh TERUTANG? </t>
  </si>
  <si>
    <t xml:space="preserve">Tidak. (Lanjut ke pertanyaan selanjutnya) </t>
  </si>
  <si>
    <t>Ya. (Isi lampiran 5 bagian C, lalu ke pertanyaan selanjutnya)</t>
  </si>
  <si>
    <t>PPh TERUTANG SETELAH PENGURANG PPh TERUTANG</t>
  </si>
  <si>
    <t>(7 - 8)</t>
  </si>
  <si>
    <t>D. KREDIT PAJAK</t>
  </si>
  <si>
    <t xml:space="preserve">APAKAH TERDAPAT PPh YANG TELAH DIPOTONG/DIPUNGUT OLEH PIHAK LAIN? </t>
  </si>
  <si>
    <t>Ya. (Isi lampiran 1 bagian E, lalu ke pertanyaan selanjutnya)</t>
  </si>
  <si>
    <t>b.</t>
  </si>
  <si>
    <t>ANGSURAN PPh PASAL 25</t>
  </si>
  <si>
    <t>APAKAH ANDA MENERIMA PENGEMBALIAN/PENGURANGAN KREDIT PPh LUAR NEGERI YANG</t>
  </si>
  <si>
    <t>TELAH DIKREDITKAN?</t>
  </si>
  <si>
    <t>Ya. (Isi dengan jumlah pengembalian/pengurangan kredit PPh luar negeri)</t>
  </si>
  <si>
    <t>E. PPh KURANG/LEBIH BAYAR</t>
  </si>
  <si>
    <t xml:space="preserve">a. </t>
  </si>
  <si>
    <t>PPh KURANG/LEBIH BAYAR</t>
  </si>
  <si>
    <t>(9 - 10a - 10b - 10c + 10d)</t>
  </si>
  <si>
    <t>APAKAH TERDAPAT SURAT KEPUTUSAN PERSETUJUAN PENGANGSURAN ATAU PENUNDAAN</t>
  </si>
  <si>
    <t>PEMBAYARAN PAJAK?</t>
  </si>
  <si>
    <t>Tidak. Saya tidak memilikinya. (Lanjut ke pertanyaan selanjutnya)</t>
  </si>
  <si>
    <t>Ya. Saya memilikinya. (Isi dengan jumlah yang telah disetujui untuk diangsur/ditunda, lalu ke</t>
  </si>
  <si>
    <t>pertanyaan selanjutnya)</t>
  </si>
  <si>
    <t xml:space="preserve">c. </t>
  </si>
  <si>
    <t>PPh YANG MASIH HARUS DIBAYAR</t>
  </si>
  <si>
    <t>(11a - 11b)</t>
  </si>
  <si>
    <t>F. PEMBETULAN (DIISI JIKA STATUS SPT DALAM PEMBETULAN)</t>
  </si>
  <si>
    <t>PPh KURANG/LEBIH BAYAR PADA SPT YANG DIBETULKAN</t>
  </si>
  <si>
    <t>GANTI SPT SEBELUMNYA</t>
  </si>
  <si>
    <t>PPh KURANG/LEBIH BAYAR KARENA PEMBETULAN</t>
  </si>
  <si>
    <t>(11a - 12b)</t>
  </si>
  <si>
    <t>G. PERMOHONAN PENGEMBALIAN PPh LEBIH BAYAR (DIISI JIKA STATUS SPT ADALAH LEBIH BAYAR)</t>
  </si>
  <si>
    <t>PPh LEBIH BAYAR PADA 11a ATAU 12b MOHON:</t>
  </si>
  <si>
    <t>NOMOR REKENING</t>
  </si>
  <si>
    <t>NAMA BANK</t>
  </si>
  <si>
    <t>Dikembalikan melalui pemeriksaan</t>
  </si>
  <si>
    <t>Dikembalikan melalui permohonan pengembalian pendahuluan</t>
  </si>
  <si>
    <t>NAMA PEMILIK REKENING</t>
  </si>
  <si>
    <t>H. ANGSURAN PPh PASAL 25 TAHUN PAJAK BERIKUTNYA</t>
  </si>
  <si>
    <t xml:space="preserve">APAKAH ANDA HANYA MENERIMA PENGHASILAN TERATUR DAN BERKEWAJIBAN MEMBAYAR </t>
  </si>
  <si>
    <t>ANGSURAN PPh PASAL 25 TAHUN PAJAK BERIKUTNYA?</t>
  </si>
  <si>
    <t>Ya. Angsuran pPh pasal 25-nya adalah</t>
  </si>
  <si>
    <t>(1/</t>
  </si>
  <si>
    <t>x (9 - 10a)</t>
  </si>
  <si>
    <t>APAKAH ANDA MENYUSUN PERHITUNGAN TERSENDIRI ANGSURAN PPh PASAL 25 TAHUN PAJAK</t>
  </si>
  <si>
    <t>BERIKUTNYA</t>
  </si>
  <si>
    <t>Ya. (Isi lampiran 4 bagian A)</t>
  </si>
  <si>
    <t>APAKAH ANDA MEMBAYAR ANGSURAN PPh PASAL 25 OPPT TAHUN PAJAK BERIKUTNYA?</t>
  </si>
  <si>
    <t>Tidak. Saya tidak memiliki kewajiban untuk membayar angsuran PPh pasal 25</t>
  </si>
  <si>
    <t>Ya. Angsuran PPh pasal 25 saya adalah 0,75% dari penghasilan bruto setiap bulan dari masing-masing tempat usaha</t>
  </si>
  <si>
    <t>I. PERNYATAAN TRANSAKSI LAINNYA</t>
  </si>
  <si>
    <t>HARTA PADA AKHIR TAHUN PAJAK (Isi lampiran 1 bagian A)</t>
  </si>
  <si>
    <t>APAKAH ANDA MEMILIKI UTANG PADA AKHIR TAHUN PAJAK?</t>
  </si>
  <si>
    <t>Ya. (Isi lampiran 1 bagian B, lalu ke pertanyaan selanjutnya)</t>
  </si>
  <si>
    <t>APAKAH ANDA MENERIMA PENGHASILAN YANG DIKENAKAN PAJAK PENGHASILAN BERSIFAT FINAL?</t>
  </si>
  <si>
    <t>Ya. (Isi lampiran 2 bagian A,  lalu ke pertanyaan selanjutnya)</t>
  </si>
  <si>
    <t>d.</t>
  </si>
  <si>
    <t>APAKAH ANDA MENERIMA PENGHASILAN YANG TIDAK TERMASUK OBJEK PAJAK?</t>
  </si>
  <si>
    <t>Ya. (Isi lampiran 2 bagian B, lalu ke pertanyaan selanjutnya)</t>
  </si>
  <si>
    <t>e.</t>
  </si>
  <si>
    <t>APAKAH ANDA MELAPORKAN BIAYA PENYUSUTAN DAN/ATAU AMORTISASI FISKAL?</t>
  </si>
  <si>
    <t>Ya. (Isi lampiran 3C, lalu ke pertanyaan selanjutnya)</t>
  </si>
  <si>
    <t>f.</t>
  </si>
  <si>
    <t>APAKAH ANDA MELAPORKAN BIAYA ENTERTAIMENT, BIAYA PROMOSI, PENGGANTIAN ATAU</t>
  </si>
  <si>
    <t>IMBALAN DALAM BENTUK NATURA DAN/ATAU KENIKMATAN, SERTA PIUTANG YANG NYATA-NYATA</t>
  </si>
  <si>
    <t>TIDAK DAPAT DITAGIH?</t>
  </si>
  <si>
    <t>Ya. (Isi lampiran 3D, lalu ke pertanyaan selanjutnya)</t>
  </si>
  <si>
    <t>g.</t>
  </si>
  <si>
    <t xml:space="preserve">APAKAH ANDA MENERIMA DEVIDEN DAN/ATAU PENGHASILAN LAIN DARI LUAT NEGERI DAN </t>
  </si>
  <si>
    <t>MELAPORKANNYA SEBAGAI PENGHASILAN TIDAK TERMASUK OBJEK PAJAK?</t>
  </si>
  <si>
    <t>Ya. (Pastikan anda sudah menyampaikan laporan realisasi investasi secara terpisah)</t>
  </si>
  <si>
    <t>h.</t>
  </si>
  <si>
    <t>KELEBIHAN PPh FINAL ATAS PENGHASILAN DARI USAHA DENGAN PEREDARAN BRUTO TERTENTU</t>
  </si>
  <si>
    <t>YANG DAPAT DIMINTAKAN PENGEMBALIAN.</t>
  </si>
  <si>
    <t>(Silahkan mengajukan permohonan pengembalian pajak yang seharusnya tidak terutang secara terpisah)</t>
  </si>
  <si>
    <t>J. LAMPIRAN TAMBAHAN</t>
  </si>
  <si>
    <t>LAPORAN KEUANGAN/LAPORAN KEUANGAN YANG TELAH DIAUDIT</t>
  </si>
  <si>
    <t>TIDAK</t>
  </si>
  <si>
    <t>YA</t>
  </si>
  <si>
    <t>BUKTI PEMBAYARANN ZAKAT/SUMBANGAN KEAGAMAAN WAJIB</t>
  </si>
  <si>
    <t xml:space="preserve">BUKTI PEMOTONGAN/PEMUNGUTAN SEHUBUNGAN DENGAN KREDIT PAJAK </t>
  </si>
  <si>
    <t>LUAR NEGERI</t>
  </si>
  <si>
    <t>SURAT KUASA KHUSUS</t>
  </si>
  <si>
    <t>DOKUMEN LAINNYA</t>
  </si>
  <si>
    <t>K.</t>
  </si>
  <si>
    <t>PERNYATAAN</t>
  </si>
  <si>
    <t>DENGAN MENYADARI SEPENUHNYA AKAN SEGALA AKBIATNYA TERMASUK SANKSI-SANKSI SESUAI DENGAN KETENTUAN PERUNDANG-UNDANGAN YANG</t>
  </si>
  <si>
    <t xml:space="preserve">BERLAKU, SAYA MENYATAKAN BAHWA APA YANG TELAH SAYA BERITAHUKAN DI ATAS BESERTA LAMPIRAN-LAMPIRANNYA ADALAH BENAR, LENGKAP, DAN, </t>
  </si>
  <si>
    <t>JELAS.</t>
  </si>
  <si>
    <t>TANGGAL</t>
  </si>
  <si>
    <t>TAHUN</t>
  </si>
  <si>
    <t>PENANDA TANGAN</t>
  </si>
  <si>
    <t>WAJIB PAJAK</t>
  </si>
  <si>
    <t>WAKIL/KUASA</t>
  </si>
  <si>
    <t>NAMA LENGKAP</t>
  </si>
  <si>
    <t xml:space="preserve">APAKAH ANDA MENERIMA PENGHASILAN DALAM NEGRI DARI PEKERJAAN? </t>
  </si>
  <si>
    <t>STP PPh PASAL 25 (HANYA POKOK PAJAK)</t>
  </si>
  <si>
    <t>NAMA TKU</t>
  </si>
  <si>
    <t>JANUARI</t>
  </si>
  <si>
    <t xml:space="preserve">FEBRUARI 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</si>
  <si>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</si>
  <si>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</si>
  <si>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</si>
  <si>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</si>
  <si>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</si>
  <si>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</si>
  <si>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</si>
  <si>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</si>
  <si>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</si>
  <si>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</si>
  <si>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</si>
  <si>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JENIS USAHA/ PEKERJAAN BEBAS</t>
  </si>
  <si>
    <t>C. REKAPITULASI PEREDARAN BRUTO UNTUK PENGGUNA NORMA PERHITUNGAN PENGHASILAN NETO (NPPN)</t>
  </si>
  <si>
    <t>JUMLAH PEREDARAN BRUTO</t>
  </si>
  <si>
    <t>JUMLAH PPh</t>
  </si>
  <si>
    <t>B. REKAPITULASI PEREDARAN BRUTO UNTUK WAJIB PAJAK ORANG PRIBADI PENGUSAHA TERTENTU (OPPT)</t>
  </si>
  <si>
    <t>PINDAHKAN NAMA TKU KOLOM 2, JENIS USAHA/PEKERJAAN BEBAS KOLOM 3, DAN JUMLAH PEREDARAN BRUTO KOLOM 16 KE LAMPIRAN 3A-4 BAGIAN A DAN JUMLAH PPh KOLOM 16 KE INDUK BAGIAN D ANGKA 10 HURUF b</t>
  </si>
  <si>
    <t>JIKA METODE PEMBUKUAN ADALAH 1. PENCATATAN, PINDAHKAN SELURUH DATA PADA MASING-MASING TKU DARI KOLOM 1 SAMPAI KOLOM 16 PADA TABEL B KE TABEL C LAMPIRAN INI. BARIS JUMLAH PPh PADA KOLOM 16 DIGABUNGKAN DENGAN JUMLAH PPh PADA TABEL C. BARIS JUMLAH PPh SESUAI DENGAN KOLOM MASING-MASING. JIKA METODE PEMBUKUAN ADALAH 2. PEMBUKUAN STELSEL KAS ATAU PEMBUKUAN STELSEL AKRUAL, PINDAHKAN JUMLAH PEREDARAN BRUTO KOLOM 16 KE LAMPIRAN 3A-1/3A-2/3A-3 BAGIAN A.1. DAN JUMLAH PPh KOLOM 16 KE INDUK BAGIAN D ANGKA 10 HURUF b</t>
  </si>
  <si>
    <t>j.</t>
  </si>
  <si>
    <t>SELISIH KARENA PEMBETULAN</t>
  </si>
  <si>
    <t>i.</t>
  </si>
  <si>
    <t>SELISIH PADA SPT YANG DIBETULKAN</t>
  </si>
  <si>
    <t>SELISIH (e-f-g)</t>
  </si>
  <si>
    <t>JUMLAH PPh FINAL YANG DIPOTONG/DIPUNGUT PIHAK LAIN</t>
  </si>
  <si>
    <t>JUMLAH PPh FINAL TERUTANG (0,5% x d)</t>
  </si>
  <si>
    <t>PEREDARAN BRUTO KENA PAJAK</t>
  </si>
  <si>
    <t>PEREDARAN BRUTO TIDAK KENA PAJAK</t>
  </si>
  <si>
    <t>AKUMULASI PEREDARAN BRUTO</t>
  </si>
  <si>
    <t>JUMLAH PPh FINAL YANG DISETOR SENDIRI</t>
  </si>
  <si>
    <t>PINDAHKAN HURUF f. JUMLAH PPh FINAL YANG DISETOR SENDIRI KOLOM 15 KE LAMPIRAN 2 BAGIAN A DENGAN KODE 28-423-99 JENIS PENGHASILAN "PENGHASILAN YANG DIKENAKAN PAJAK BERSIFAT FINAL SESUAI PERATURAN PEMERINTAHAN NOMOR 55 TAHUN 2022 (DISETOR SENDIRI)" PINDAHKAN HURUF g. JUMLAH PPh FINAL YANG DIPOTONG/DIPUNGUT PIHAK LAIN PADA KOLOM 3 SAMPAI 14 KE LAMPIRAN 2 BAGIAN A SESUAI DENGAN BUKTI PEMOTONGAN/PEMUNGUTAN PPh</t>
  </si>
  <si>
    <t>A. REKAPITULASI PEREDARAN BRUTO UNTUK WAJIB PAJAK ORANG PRIBADI YANG MEMILIKI PEREDARAN BRUTO TERTENTU YANG DIKENAI PAJAK BERSIFAT FINAL</t>
  </si>
  <si>
    <t>ID TKU</t>
  </si>
  <si>
    <t>ALAMAT</t>
  </si>
  <si>
    <t>KELURAHAN/DESA</t>
  </si>
  <si>
    <t>KECAMATAN</t>
  </si>
  <si>
    <t>KOTA/KABUPATEN</t>
  </si>
  <si>
    <t>PROVINSI</t>
  </si>
  <si>
    <t>DAFTAR TEMPAT KEGIATAN USAHA (TKU)</t>
  </si>
  <si>
    <t>NPWP</t>
  </si>
  <si>
    <t>LAMPIRAN 3B</t>
  </si>
  <si>
    <t>REJAPITULASI PEREDARAN BRUTO</t>
  </si>
  <si>
    <t>PERHATIAN</t>
  </si>
  <si>
    <t>LAMPIRAN INI DISI OLEH WAJIB PAJAK YANG BERKEWAJIBAN MELAPORKAN RINCIAN REKAPITULASI PEREDARAN BRUTO</t>
  </si>
  <si>
    <t>INDUK</t>
  </si>
  <si>
    <t>HALAMAN 1</t>
  </si>
  <si>
    <t>SPT TAHUNAN</t>
  </si>
  <si>
    <t>PAJAK PENGHASILAN (PPh)</t>
  </si>
  <si>
    <t>WAJIB PAJAK ORANG PRIBADI</t>
  </si>
  <si>
    <t>TANDA TANGAN</t>
  </si>
  <si>
    <t>JUMLAH TABEL 1</t>
  </si>
  <si>
    <t>JUMLAH TABEL 2</t>
  </si>
  <si>
    <t>HARTA BERGERAK</t>
  </si>
  <si>
    <t xml:space="preserve">NOMOR POLISI/ REGISTRASI </t>
  </si>
  <si>
    <t>ATAS NAMA SENDIRI</t>
  </si>
  <si>
    <t>ATAS NAMA PIHAK LAIN</t>
  </si>
  <si>
    <t>TIPE</t>
  </si>
  <si>
    <t>MEREK/MODEL</t>
  </si>
  <si>
    <t>HARTA TIDAK BERGERAK</t>
  </si>
  <si>
    <t>UKURAN PROLEHAN</t>
  </si>
  <si>
    <t>TANAH</t>
  </si>
  <si>
    <t>BANGUNAN</t>
  </si>
  <si>
    <t>SUMBER KEPEMILIKAN</t>
  </si>
  <si>
    <t>NOMER SERTIFIKAT</t>
  </si>
  <si>
    <t>HARTA LAINNYA</t>
  </si>
  <si>
    <t>BUKTI KEPEMILIKAN/ NOMER AKUN</t>
  </si>
  <si>
    <t xml:space="preserve">INFORMASI TAMBAHAN </t>
  </si>
  <si>
    <t>JUMLAH TABEL 5</t>
  </si>
  <si>
    <t>JUMLAH TABEL 6</t>
  </si>
  <si>
    <t>JUMLAH TABEL 3</t>
  </si>
  <si>
    <t>JUMLAH TABEL 4</t>
  </si>
  <si>
    <t>IKHTISAR HARTA</t>
  </si>
  <si>
    <t>JUMLAH HARTA PADA AKHIR TAHUN PAJAK</t>
  </si>
  <si>
    <t>JUMLAHKAN HARTA PADA TABEL 1 SAMPAI DENGAN TABEL 6 DI TABEL 7 KOLOM (2) PINDAHKAN JUMLAH HARTA TABEL 7 KOLOM (2) KE BAGIAN I ANGKA 14 HURUF a.</t>
  </si>
  <si>
    <t xml:space="preserve">UTANG PADA AKHIR TAHUN PAJAK </t>
  </si>
  <si>
    <t>KREDITUR</t>
  </si>
  <si>
    <t>NEGARA KREDITUR</t>
  </si>
  <si>
    <t>TAHUN PINJAMAN</t>
  </si>
  <si>
    <t>PINDAHKAN JUMLAH TABEL B KE INDUK BAGIAN I ANGKA 14 HURUF b.</t>
  </si>
  <si>
    <t>X</t>
  </si>
  <si>
    <t>3354067212010002</t>
  </si>
  <si>
    <t>dr. ANDI PRATAMA</t>
  </si>
  <si>
    <t>RS PERMATA</t>
  </si>
  <si>
    <t>0000000000000000</t>
  </si>
  <si>
    <t>K/I/2</t>
  </si>
  <si>
    <t>RUMAH SAKIT PERMATA</t>
  </si>
  <si>
    <t>BP-A1</t>
  </si>
  <si>
    <t>PPh 21</t>
  </si>
  <si>
    <t>RATNA SARI</t>
  </si>
  <si>
    <t>BIMA PRATAMA</t>
  </si>
  <si>
    <t>CITRA PRATAMA</t>
  </si>
  <si>
    <t>ISTRI</t>
  </si>
  <si>
    <t>ANAK</t>
  </si>
  <si>
    <t>PENGUSAHA</t>
  </si>
  <si>
    <t>PELAJAR</t>
  </si>
  <si>
    <t>0502</t>
  </si>
  <si>
    <t>TANAH DAN/ATAU BANGUNAN UNTUK TEMPAT TINGGAL</t>
  </si>
  <si>
    <t>Jl. Melati No. 10, Kota X</t>
  </si>
  <si>
    <t>HASIL SENDIRI</t>
  </si>
  <si>
    <t>0403</t>
  </si>
  <si>
    <t>MOBIL PENUMPANG</t>
  </si>
  <si>
    <t>TOYOTA INNOVA 2.0</t>
  </si>
  <si>
    <t>ANDI PRATAMA</t>
  </si>
  <si>
    <t>0102</t>
  </si>
  <si>
    <t>TABUNGAN</t>
  </si>
  <si>
    <t>TN. ANDI PRATAMA</t>
  </si>
  <si>
    <t>BANK MANDIRI</t>
  </si>
  <si>
    <t>INDONESIA</t>
  </si>
  <si>
    <t>0104</t>
  </si>
  <si>
    <t>DEPOSITO</t>
  </si>
  <si>
    <t>BANK BRI</t>
  </si>
  <si>
    <t>0709</t>
  </si>
  <si>
    <t>PERABOT RUMAH TANGGA</t>
  </si>
  <si>
    <t>FURNITURE</t>
  </si>
  <si>
    <t>0703</t>
  </si>
  <si>
    <t>LOGAM MULIA</t>
  </si>
  <si>
    <t>100 GRAM</t>
  </si>
  <si>
    <t>101</t>
  </si>
  <si>
    <t>UTANG BANK</t>
  </si>
  <si>
    <t>BANK BTN</t>
  </si>
  <si>
    <t>KPR</t>
  </si>
  <si>
    <t>KKB</t>
  </si>
  <si>
    <t>102</t>
  </si>
  <si>
    <t>KARTU KREDIT</t>
  </si>
  <si>
    <t>BANK BCA</t>
  </si>
  <si>
    <t>KODE
HARTA</t>
  </si>
  <si>
    <t>KELOMPOK/
JENIS HARTA</t>
  </si>
  <si>
    <t>BULAN/TAHUN PEROLEHAN
PEROLEHAN</t>
  </si>
  <si>
    <t>HARGA PEROLEHAN (RUPIAH)</t>
  </si>
  <si>
    <t>NILAI SISA BUKU FISKAL AWAL TAHUN ( RUPIAH)</t>
  </si>
  <si>
    <t xml:space="preserve">METODE PENYUSUTAN/AMORTISASI </t>
  </si>
  <si>
    <t>PENYUSUTAN/ AMORTISASI
FISKAL TAHUN INI
(RUPIAH)</t>
  </si>
  <si>
    <t>FISKAL</t>
  </si>
  <si>
    <t>I. HARTA BERWUJUD</t>
  </si>
  <si>
    <t>A. Kelompok 1</t>
  </si>
  <si>
    <t xml:space="preserve">B. Kelompok </t>
  </si>
  <si>
    <t>C. Kelompok 3</t>
  </si>
  <si>
    <t>D. Kelompok 4</t>
  </si>
  <si>
    <t>E. Kelompok Lain</t>
  </si>
  <si>
    <t>II. KELOMPOK BANGUNAN</t>
  </si>
  <si>
    <t>A. Permanen</t>
  </si>
  <si>
    <t>B. Tidak Permanen</t>
  </si>
  <si>
    <t>A. JUMLAH PENYUSUTAN FISKAL</t>
  </si>
  <si>
    <t>B. JUMLAH PENYUSUTAN KOMERSIAL</t>
  </si>
  <si>
    <t>C. SELISIH PENYUSUTAN (A-B)</t>
  </si>
  <si>
    <t>III. HARTA TIDAK BERWUJUD</t>
  </si>
  <si>
    <t>D. JUMLAH AMORTISASI FISKAL</t>
  </si>
  <si>
    <t>E. JUMLAH AMORTISASI KOMERSIAL</t>
  </si>
  <si>
    <t>F. SELISIH AMORTISASI (d - e)</t>
  </si>
  <si>
    <t>x</t>
  </si>
  <si>
    <t>1. FURNITURE</t>
  </si>
  <si>
    <t>GARIS LURUS</t>
  </si>
  <si>
    <t>2. KOMPUTER</t>
  </si>
  <si>
    <t>3. PERALATAN PRAKTEK</t>
  </si>
  <si>
    <t>4. FURNITURE</t>
  </si>
  <si>
    <t>5. KOMPUTER</t>
  </si>
  <si>
    <t>6. ALAT-ALAT SALON</t>
  </si>
  <si>
    <t>B. IKHTISAR PENGHASILAN NETO</t>
  </si>
  <si>
    <t xml:space="preserve">C. PERHITUNGAN PPh TERUTANG </t>
  </si>
  <si>
    <t>BP-21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</si>
</sst>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65" formatCode="_-&quot;Rp&quot;* #,##0.00_-;\-&quot;Rp&quot;* #,##0.00_-;_-&quot;Rp&quot;* &quot;-&quot;??_-;_-@"/>
    <numFmt numFmtId="168" formatCode="_-&quot;Rp&quot;* #,##0_-;\-&quot;Rp&quot;* #,##0_-;_-&quot;Rp&quot;* &quot;-&quot;??_-;_-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rgb="FFD0CECE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44" fontId="5" fillId="0" borderId="0" applyFont="0" applyFill="0" applyBorder="0" applyAlignment="0" applyProtection="0"/>
  </cellStyleXfs>
  <cellXfs count="2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/>
    <xf numFmtId="0" fontId="3" fillId="2" borderId="1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2" fillId="0" borderId="0" xfId="1"/>
    <xf numFmtId="0" fontId="0" fillId="0" borderId="1" xfId="0" quotePrefix="1" applyBorder="1"/>
    <xf numFmtId="164" fontId="0" fillId="0" borderId="1" xfId="2" applyNumberFormat="1" applyFont="1" applyBorder="1"/>
    <xf numFmtId="164" fontId="0" fillId="0" borderId="1" xfId="0" applyNumberFormat="1" applyBorder="1"/>
    <xf numFmtId="164" fontId="0" fillId="5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0" xfId="0" applyFill="1"/>
    <xf numFmtId="0" fontId="8" fillId="6" borderId="0" xfId="0" applyFont="1" applyFill="1" applyAlignment="1">
      <alignment vertical="center"/>
    </xf>
    <xf numFmtId="0" fontId="0" fillId="6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4" fontId="0" fillId="4" borderId="1" xfId="2" applyNumberFormat="1" applyFont="1" applyFill="1" applyBorder="1" applyAlignment="1">
      <alignment vertical="center" wrapText="1"/>
    </xf>
    <xf numFmtId="164" fontId="0" fillId="0" borderId="1" xfId="2" applyNumberFormat="1" applyFont="1" applyBorder="1" applyAlignment="1">
      <alignment vertical="center"/>
    </xf>
    <xf numFmtId="0" fontId="3" fillId="9" borderId="4" xfId="1" applyFont="1" applyFill="1" applyBorder="1"/>
    <xf numFmtId="0" fontId="2" fillId="9" borderId="11" xfId="1" applyFill="1" applyBorder="1"/>
    <xf numFmtId="0" fontId="3" fillId="9" borderId="11" xfId="1" applyFont="1" applyFill="1" applyBorder="1"/>
    <xf numFmtId="0" fontId="2" fillId="9" borderId="5" xfId="1" applyFill="1" applyBorder="1"/>
    <xf numFmtId="0" fontId="2" fillId="9" borderId="14" xfId="1" applyFill="1" applyBorder="1"/>
    <xf numFmtId="0" fontId="2" fillId="9" borderId="0" xfId="1" applyFill="1"/>
    <xf numFmtId="0" fontId="2" fillId="9" borderId="15" xfId="1" applyFill="1" applyBorder="1"/>
    <xf numFmtId="0" fontId="2" fillId="9" borderId="6" xfId="1" applyFill="1" applyBorder="1"/>
    <xf numFmtId="0" fontId="2" fillId="9" borderId="12" xfId="1" applyFill="1" applyBorder="1"/>
    <xf numFmtId="0" fontId="2" fillId="9" borderId="7" xfId="1" applyFill="1" applyBorder="1"/>
    <xf numFmtId="0" fontId="2" fillId="4" borderId="1" xfId="1" applyFill="1" applyBorder="1"/>
    <xf numFmtId="0" fontId="2" fillId="10" borderId="0" xfId="1" applyFill="1"/>
    <xf numFmtId="0" fontId="2" fillId="10" borderId="1" xfId="1" applyFill="1" applyBorder="1"/>
    <xf numFmtId="0" fontId="2" fillId="4" borderId="13" xfId="1" applyFill="1" applyBorder="1"/>
    <xf numFmtId="0" fontId="2" fillId="3" borderId="0" xfId="1" applyFill="1"/>
    <xf numFmtId="0" fontId="2" fillId="4" borderId="0" xfId="1" applyFill="1"/>
    <xf numFmtId="0" fontId="2" fillId="4" borderId="4" xfId="1" applyFill="1" applyBorder="1"/>
    <xf numFmtId="0" fontId="2" fillId="4" borderId="11" xfId="1" applyFill="1" applyBorder="1"/>
    <xf numFmtId="0" fontId="2" fillId="4" borderId="14" xfId="1" applyFill="1" applyBorder="1"/>
    <xf numFmtId="0" fontId="2" fillId="4" borderId="6" xfId="1" applyFill="1" applyBorder="1"/>
    <xf numFmtId="0" fontId="2" fillId="4" borderId="12" xfId="1" applyFill="1" applyBorder="1"/>
    <xf numFmtId="1" fontId="0" fillId="3" borderId="0" xfId="0" applyNumberFormat="1" applyFill="1"/>
    <xf numFmtId="0" fontId="0" fillId="0" borderId="6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0" fillId="0" borderId="5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10" borderId="0" xfId="0" applyFill="1"/>
    <xf numFmtId="0" fontId="1" fillId="4" borderId="1" xfId="1" applyFont="1" applyFill="1" applyBorder="1"/>
    <xf numFmtId="0" fontId="1" fillId="4" borderId="13" xfId="1" applyFont="1" applyFill="1" applyBorder="1"/>
    <xf numFmtId="164" fontId="3" fillId="0" borderId="1" xfId="2" applyNumberFormat="1" applyFont="1" applyBorder="1"/>
    <xf numFmtId="14" fontId="0" fillId="0" borderId="1" xfId="0" applyNumberFormat="1" applyBorder="1"/>
    <xf numFmtId="0" fontId="0" fillId="0" borderId="15" xfId="0" quotePrefix="1" applyBorder="1"/>
    <xf numFmtId="164" fontId="2" fillId="9" borderId="0" xfId="2" applyNumberFormat="1" applyFont="1" applyFill="1"/>
    <xf numFmtId="0" fontId="12" fillId="11" borderId="26" xfId="0" applyFont="1" applyFill="1" applyBorder="1" applyAlignment="1">
      <alignment horizontal="center" vertical="center"/>
    </xf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4" fillId="0" borderId="0" xfId="0" applyFont="1"/>
    <xf numFmtId="17" fontId="12" fillId="0" borderId="28" xfId="0" applyNumberFormat="1" applyFont="1" applyBorder="1"/>
    <xf numFmtId="165" fontId="12" fillId="0" borderId="28" xfId="0" applyNumberFormat="1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" fillId="10" borderId="0" xfId="1" applyFont="1" applyFill="1"/>
    <xf numFmtId="164" fontId="0" fillId="7" borderId="1" xfId="0" applyNumberFormat="1" applyFill="1" applyBorder="1"/>
    <xf numFmtId="0" fontId="2" fillId="4" borderId="2" xfId="1" applyFill="1" applyBorder="1" applyAlignment="1">
      <alignment horizontal="center"/>
    </xf>
    <xf numFmtId="0" fontId="2" fillId="4" borderId="3" xfId="1" applyFill="1" applyBorder="1" applyAlignment="1">
      <alignment horizontal="center"/>
    </xf>
    <xf numFmtId="0" fontId="2" fillId="10" borderId="0" xfId="1" applyFill="1" applyAlignment="1">
      <alignment horizontal="left"/>
    </xf>
    <xf numFmtId="0" fontId="2" fillId="4" borderId="8" xfId="1" applyFill="1" applyBorder="1" applyAlignment="1">
      <alignment horizontal="center"/>
    </xf>
    <xf numFmtId="164" fontId="2" fillId="4" borderId="2" xfId="2" applyNumberFormat="1" applyFont="1" applyFill="1" applyBorder="1" applyAlignment="1">
      <alignment horizontal="center"/>
    </xf>
    <xf numFmtId="164" fontId="2" fillId="4" borderId="8" xfId="2" applyNumberFormat="1" applyFont="1" applyFill="1" applyBorder="1" applyAlignment="1">
      <alignment horizontal="center"/>
    </xf>
    <xf numFmtId="164" fontId="2" fillId="4" borderId="3" xfId="2" applyNumberFormat="1" applyFont="1" applyFill="1" applyBorder="1" applyAlignment="1">
      <alignment horizontal="center"/>
    </xf>
    <xf numFmtId="164" fontId="2" fillId="4" borderId="2" xfId="1" applyNumberFormat="1" applyFill="1" applyBorder="1" applyAlignment="1">
      <alignment horizontal="center"/>
    </xf>
    <xf numFmtId="0" fontId="3" fillId="9" borderId="11" xfId="1" applyFont="1" applyFill="1" applyBorder="1" applyAlignment="1">
      <alignment horizontal="center"/>
    </xf>
    <xf numFmtId="0" fontId="1" fillId="4" borderId="2" xfId="1" applyFont="1" applyFill="1" applyBorder="1" applyAlignment="1">
      <alignment horizontal="center"/>
    </xf>
    <xf numFmtId="0" fontId="1" fillId="4" borderId="2" xfId="1" quotePrefix="1" applyFont="1" applyFill="1" applyBorder="1" applyAlignment="1">
      <alignment horizontal="center"/>
    </xf>
    <xf numFmtId="164" fontId="2" fillId="4" borderId="8" xfId="1" applyNumberFormat="1" applyFill="1" applyBorder="1" applyAlignment="1">
      <alignment horizontal="center"/>
    </xf>
    <xf numFmtId="164" fontId="2" fillId="4" borderId="3" xfId="1" applyNumberFormat="1" applyFill="1" applyBorder="1" applyAlignment="1">
      <alignment horizontal="center"/>
    </xf>
    <xf numFmtId="0" fontId="1" fillId="4" borderId="4" xfId="1" applyFont="1" applyFill="1" applyBorder="1" applyAlignment="1">
      <alignment horizontal="right"/>
    </xf>
    <xf numFmtId="0" fontId="2" fillId="4" borderId="11" xfId="1" applyFill="1" applyBorder="1" applyAlignment="1">
      <alignment horizontal="right"/>
    </xf>
    <xf numFmtId="0" fontId="2" fillId="4" borderId="5" xfId="1" applyFill="1" applyBorder="1" applyAlignment="1">
      <alignment horizontal="right"/>
    </xf>
    <xf numFmtId="0" fontId="2" fillId="4" borderId="14" xfId="1" applyFill="1" applyBorder="1" applyAlignment="1">
      <alignment horizontal="right"/>
    </xf>
    <xf numFmtId="0" fontId="2" fillId="4" borderId="0" xfId="1" applyFill="1" applyAlignment="1">
      <alignment horizontal="right"/>
    </xf>
    <xf numFmtId="0" fontId="2" fillId="4" borderId="15" xfId="1" applyFill="1" applyBorder="1" applyAlignment="1">
      <alignment horizontal="right"/>
    </xf>
    <xf numFmtId="0" fontId="2" fillId="4" borderId="6" xfId="1" applyFill="1" applyBorder="1" applyAlignment="1">
      <alignment horizontal="right"/>
    </xf>
    <xf numFmtId="0" fontId="2" fillId="4" borderId="12" xfId="1" applyFill="1" applyBorder="1" applyAlignment="1">
      <alignment horizontal="right"/>
    </xf>
    <xf numFmtId="0" fontId="2" fillId="4" borderId="7" xfId="1" applyFill="1" applyBorder="1" applyAlignment="1">
      <alignment horizontal="right"/>
    </xf>
    <xf numFmtId="0" fontId="10" fillId="4" borderId="11" xfId="1" applyFont="1" applyFill="1" applyBorder="1" applyAlignment="1">
      <alignment horizontal="left" vertical="center"/>
    </xf>
    <xf numFmtId="0" fontId="11" fillId="4" borderId="11" xfId="1" applyFont="1" applyFill="1" applyBorder="1" applyAlignment="1">
      <alignment horizontal="left" vertical="center"/>
    </xf>
    <xf numFmtId="0" fontId="11" fillId="4" borderId="0" xfId="1" applyFont="1" applyFill="1" applyAlignment="1">
      <alignment horizontal="left" vertical="center"/>
    </xf>
    <xf numFmtId="0" fontId="3" fillId="4" borderId="0" xfId="1" applyFont="1" applyFill="1" applyAlignment="1">
      <alignment horizontal="left"/>
    </xf>
    <xf numFmtId="0" fontId="3" fillId="4" borderId="12" xfId="1" applyFont="1" applyFill="1" applyBorder="1" applyAlignment="1">
      <alignment horizontal="left"/>
    </xf>
    <xf numFmtId="0" fontId="3" fillId="3" borderId="12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10" fillId="3" borderId="11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0" borderId="9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11" xfId="0" applyFont="1" applyBorder="1" applyAlignment="1">
      <alignment horizontal="right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0" borderId="11" xfId="0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center" wrapText="1"/>
    </xf>
    <xf numFmtId="44" fontId="0" fillId="8" borderId="2" xfId="2" applyFont="1" applyFill="1" applyBorder="1" applyAlignment="1">
      <alignment horizontal="center" vertical="center"/>
    </xf>
    <xf numFmtId="44" fontId="0" fillId="8" borderId="8" xfId="2" applyFont="1" applyFill="1" applyBorder="1" applyAlignment="1">
      <alignment horizontal="center" vertical="center"/>
    </xf>
    <xf numFmtId="44" fontId="0" fillId="8" borderId="3" xfId="2" applyFont="1" applyFill="1" applyBorder="1" applyAlignment="1">
      <alignment horizontal="center" vertical="center"/>
    </xf>
    <xf numFmtId="0" fontId="7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0" fillId="6" borderId="1" xfId="0" applyFill="1" applyBorder="1" applyAlignment="1">
      <alignment horizontal="left" vertical="top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8" borderId="2" xfId="0" applyFill="1" applyBorder="1" applyAlignment="1">
      <alignment horizontal="left" vertical="top"/>
    </xf>
    <xf numFmtId="0" fontId="0" fillId="8" borderId="8" xfId="0" applyFill="1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9" fillId="6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top" wrapText="1"/>
    </xf>
    <xf numFmtId="0" fontId="6" fillId="8" borderId="11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0" fontId="6" fillId="8" borderId="14" xfId="0" applyFont="1" applyFill="1" applyBorder="1" applyAlignment="1">
      <alignment horizontal="left" vertical="top" wrapText="1"/>
    </xf>
    <xf numFmtId="0" fontId="6" fillId="8" borderId="0" xfId="0" applyFont="1" applyFill="1" applyAlignment="1">
      <alignment horizontal="left" vertical="top" wrapText="1"/>
    </xf>
    <xf numFmtId="0" fontId="6" fillId="8" borderId="1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 wrapText="1"/>
    </xf>
    <xf numFmtId="0" fontId="6" fillId="8" borderId="12" xfId="0" applyFont="1" applyFill="1" applyBorder="1" applyAlignment="1">
      <alignment horizontal="left" vertical="top" wrapText="1"/>
    </xf>
    <xf numFmtId="0" fontId="6" fillId="8" borderId="7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7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 wrapText="1"/>
    </xf>
    <xf numFmtId="0" fontId="0" fillId="6" borderId="1" xfId="0" applyFill="1" applyBorder="1" applyAlignment="1">
      <alignment horizontal="left"/>
    </xf>
    <xf numFmtId="0" fontId="12" fillId="11" borderId="20" xfId="0" applyFont="1" applyFill="1" applyBorder="1" applyAlignment="1">
      <alignment horizontal="left" vertical="center"/>
    </xf>
    <xf numFmtId="0" fontId="13" fillId="0" borderId="27" xfId="0" applyFont="1" applyBorder="1"/>
    <xf numFmtId="0" fontId="13" fillId="0" borderId="21" xfId="0" applyFont="1" applyBorder="1"/>
    <xf numFmtId="0" fontId="12" fillId="11" borderId="16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wrapText="1"/>
    </xf>
    <xf numFmtId="0" fontId="13" fillId="0" borderId="22" xfId="0" applyFont="1" applyBorder="1"/>
    <xf numFmtId="0" fontId="12" fillId="11" borderId="20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 wrapText="1"/>
    </xf>
    <xf numFmtId="0" fontId="13" fillId="0" borderId="18" xfId="0" applyFont="1" applyBorder="1"/>
    <xf numFmtId="0" fontId="13" fillId="0" borderId="19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2" fillId="11" borderId="20" xfId="0" applyFont="1" applyFill="1" applyBorder="1" applyAlignment="1">
      <alignment horizontal="center" vertical="center" wrapText="1"/>
    </xf>
    <xf numFmtId="164" fontId="12" fillId="0" borderId="28" xfId="2" applyNumberFormat="1" applyFont="1" applyBorder="1"/>
    <xf numFmtId="168" fontId="12" fillId="0" borderId="28" xfId="0" applyNumberFormat="1" applyFont="1" applyBorder="1"/>
  </cellXfs>
  <cellStyles count="3">
    <cellStyle name="Currency" xfId="2" builtinId="4"/>
    <cellStyle name="Normal" xfId="0" builtinId="0"/>
    <cellStyle name="Normal 2" xfId="1" xr:uid="{04123ABD-A851-4A01-9749-2B1B7C523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6614-72D6-40FF-BD45-FB48D434FB51}">
  <dimension ref="A3:X166"/>
  <sheetViews>
    <sheetView tabSelected="1" zoomScaleNormal="100" workbookViewId="0">
      <selection activeCell="P152" sqref="P152"/>
    </sheetView>
  </sheetViews>
  <sheetFormatPr defaultColWidth="9.109375" defaultRowHeight="14.4" x14ac:dyDescent="0.3"/>
  <cols>
    <col min="1" max="1" width="4.44140625" style="18" customWidth="1"/>
    <col min="2" max="2" width="2.6640625" style="18" customWidth="1"/>
    <col min="3" max="3" width="2.5546875" style="18" customWidth="1"/>
    <col min="4" max="4" width="4.6640625" style="18" customWidth="1"/>
    <col min="5" max="5" width="15" style="18" customWidth="1"/>
    <col min="6" max="6" width="5.5546875" style="18" customWidth="1"/>
    <col min="7" max="7" width="6.5546875" style="18" customWidth="1"/>
    <col min="8" max="8" width="5.109375" style="18" customWidth="1"/>
    <col min="9" max="9" width="9.109375" style="18"/>
    <col min="10" max="10" width="4.88671875" style="18" customWidth="1"/>
    <col min="11" max="11" width="12.33203125" style="18" customWidth="1"/>
    <col min="12" max="12" width="3.6640625" style="18" customWidth="1"/>
    <col min="13" max="13" width="18.6640625" style="18" customWidth="1"/>
    <col min="14" max="14" width="5" style="18" customWidth="1"/>
    <col min="15" max="15" width="23.109375" style="18" customWidth="1"/>
    <col min="16" max="17" width="4.33203125" style="18" customWidth="1"/>
    <col min="18" max="18" width="14.33203125" style="18" customWidth="1"/>
    <col min="19" max="19" width="15.88671875" style="18" customWidth="1"/>
    <col min="20" max="20" width="9.109375" style="18" customWidth="1"/>
    <col min="21" max="16384" width="9.109375" style="18"/>
  </cols>
  <sheetData>
    <row r="3" spans="1:24" x14ac:dyDescent="0.3">
      <c r="A3" s="50"/>
      <c r="B3" s="51"/>
      <c r="C3" s="51"/>
      <c r="D3" s="51"/>
      <c r="E3" s="51"/>
      <c r="F3" s="51"/>
      <c r="G3" s="51"/>
      <c r="H3" s="51"/>
      <c r="I3" s="51"/>
      <c r="J3" s="51"/>
      <c r="K3" s="115" t="s">
        <v>381</v>
      </c>
      <c r="L3" s="116"/>
      <c r="M3" s="116"/>
      <c r="N3" s="116"/>
      <c r="O3" s="116"/>
      <c r="P3" s="116"/>
      <c r="Q3" s="116"/>
      <c r="R3" s="116"/>
      <c r="S3" s="51"/>
      <c r="T3" s="122" t="s">
        <v>379</v>
      </c>
      <c r="U3" s="122"/>
      <c r="V3" s="122"/>
      <c r="W3" s="122"/>
      <c r="X3" s="123"/>
    </row>
    <row r="4" spans="1:24" ht="15" customHeight="1" x14ac:dyDescent="0.3">
      <c r="A4" s="52"/>
      <c r="B4" s="49"/>
      <c r="C4" s="49"/>
      <c r="D4" s="49"/>
      <c r="E4" s="49"/>
      <c r="F4" s="49"/>
      <c r="G4" s="49"/>
      <c r="H4" s="49"/>
      <c r="I4" s="49"/>
      <c r="J4" s="49"/>
      <c r="K4" s="117"/>
      <c r="L4" s="117"/>
      <c r="M4" s="117"/>
      <c r="N4" s="117"/>
      <c r="O4" s="117"/>
      <c r="P4" s="117"/>
      <c r="Q4" s="117"/>
      <c r="R4" s="117"/>
      <c r="S4" s="49"/>
      <c r="T4" s="124"/>
      <c r="U4" s="124"/>
      <c r="V4" s="124"/>
      <c r="W4" s="124"/>
      <c r="X4" s="125"/>
    </row>
    <row r="5" spans="1:24" x14ac:dyDescent="0.3">
      <c r="A5" s="52"/>
      <c r="B5" s="49"/>
      <c r="C5" s="49"/>
      <c r="D5" s="49"/>
      <c r="E5" s="49"/>
      <c r="F5" s="49"/>
      <c r="G5" s="49"/>
      <c r="H5" s="49"/>
      <c r="I5" s="49"/>
      <c r="J5" s="49"/>
      <c r="K5" s="118" t="s">
        <v>382</v>
      </c>
      <c r="L5" s="118"/>
      <c r="M5" s="118"/>
      <c r="N5" s="118"/>
      <c r="O5" s="118"/>
      <c r="P5" s="118"/>
      <c r="Q5" s="118"/>
      <c r="R5" s="118"/>
      <c r="S5" s="49"/>
      <c r="T5" s="124"/>
      <c r="U5" s="124"/>
      <c r="V5" s="124"/>
      <c r="W5" s="124"/>
      <c r="X5" s="125"/>
    </row>
    <row r="6" spans="1:24" x14ac:dyDescent="0.3">
      <c r="A6" s="53"/>
      <c r="B6" s="54"/>
      <c r="C6" s="54"/>
      <c r="D6" s="54"/>
      <c r="E6" s="54"/>
      <c r="F6" s="54"/>
      <c r="G6" s="54"/>
      <c r="H6" s="54"/>
      <c r="I6" s="54"/>
      <c r="J6" s="54"/>
      <c r="K6" s="119" t="s">
        <v>383</v>
      </c>
      <c r="L6" s="119"/>
      <c r="M6" s="119"/>
      <c r="N6" s="119"/>
      <c r="O6" s="119"/>
      <c r="P6" s="119"/>
      <c r="Q6" s="119"/>
      <c r="R6" s="119"/>
      <c r="S6" s="54"/>
      <c r="T6" s="120" t="s">
        <v>380</v>
      </c>
      <c r="U6" s="120"/>
      <c r="V6" s="120"/>
      <c r="W6" s="120"/>
      <c r="X6" s="121"/>
    </row>
    <row r="8" spans="1:24" x14ac:dyDescent="0.3">
      <c r="A8" s="34" t="s">
        <v>150</v>
      </c>
      <c r="B8" s="35"/>
      <c r="C8" s="35"/>
      <c r="D8" s="35"/>
      <c r="E8" s="35"/>
      <c r="F8" s="35"/>
      <c r="G8" s="35"/>
      <c r="H8" s="35"/>
      <c r="I8" s="101" t="s">
        <v>151</v>
      </c>
      <c r="J8" s="101"/>
      <c r="K8" s="101"/>
      <c r="L8" s="35"/>
      <c r="M8" s="35"/>
      <c r="N8" s="101" t="s">
        <v>152</v>
      </c>
      <c r="O8" s="101"/>
      <c r="P8" s="35"/>
      <c r="Q8" s="36" t="s">
        <v>54</v>
      </c>
      <c r="R8" s="36"/>
      <c r="S8" s="35"/>
      <c r="T8" s="36" t="s">
        <v>153</v>
      </c>
      <c r="U8" s="35"/>
      <c r="V8" s="35"/>
      <c r="W8" s="35"/>
      <c r="X8" s="37"/>
    </row>
    <row r="9" spans="1:24" x14ac:dyDescent="0.3">
      <c r="A9" s="38"/>
      <c r="B9" s="102" t="s">
        <v>414</v>
      </c>
      <c r="C9" s="94"/>
      <c r="D9" s="39" t="s">
        <v>154</v>
      </c>
      <c r="E9" s="39"/>
      <c r="F9" s="39"/>
      <c r="G9" s="39"/>
      <c r="H9" s="39"/>
      <c r="I9" s="39" t="s">
        <v>155</v>
      </c>
      <c r="J9" s="39"/>
      <c r="K9" s="39" t="s">
        <v>156</v>
      </c>
      <c r="L9" s="39"/>
      <c r="M9" s="39"/>
      <c r="N9" s="69" t="s">
        <v>414</v>
      </c>
      <c r="O9" s="39" t="s">
        <v>157</v>
      </c>
      <c r="P9" s="39"/>
      <c r="Q9" s="69" t="s">
        <v>414</v>
      </c>
      <c r="R9" s="39" t="s">
        <v>28</v>
      </c>
      <c r="S9" s="39"/>
      <c r="T9" s="69" t="s">
        <v>414</v>
      </c>
      <c r="U9" s="39" t="s">
        <v>158</v>
      </c>
      <c r="V9" s="39"/>
      <c r="W9" s="39"/>
      <c r="X9" s="40"/>
    </row>
    <row r="10" spans="1:24" x14ac:dyDescent="0.3">
      <c r="A10" s="38"/>
      <c r="B10" s="93"/>
      <c r="C10" s="94"/>
      <c r="D10" s="39" t="s">
        <v>159</v>
      </c>
      <c r="E10" s="39"/>
      <c r="F10" s="39"/>
      <c r="G10" s="39"/>
      <c r="H10" s="39"/>
      <c r="I10" s="39" t="s">
        <v>160</v>
      </c>
      <c r="J10" s="39"/>
      <c r="K10" s="39" t="s">
        <v>161</v>
      </c>
      <c r="L10" s="39"/>
      <c r="M10" s="39"/>
      <c r="N10" s="44"/>
      <c r="O10" s="39" t="s">
        <v>162</v>
      </c>
      <c r="P10" s="39"/>
      <c r="Q10" s="69" t="s">
        <v>414</v>
      </c>
      <c r="R10" s="39" t="s">
        <v>163</v>
      </c>
      <c r="S10" s="39"/>
      <c r="T10" s="44"/>
      <c r="U10" s="39" t="s">
        <v>164</v>
      </c>
      <c r="V10" s="39"/>
      <c r="W10" s="39"/>
      <c r="X10" s="40"/>
    </row>
    <row r="11" spans="1:24" x14ac:dyDescent="0.3">
      <c r="A11" s="41"/>
      <c r="B11" s="93"/>
      <c r="C11" s="96"/>
      <c r="D11" s="96"/>
      <c r="E11" s="96"/>
      <c r="F11" s="94"/>
      <c r="G11" s="42"/>
      <c r="H11" s="42"/>
      <c r="I11" s="44">
        <v>1</v>
      </c>
      <c r="J11" s="42" t="s">
        <v>165</v>
      </c>
      <c r="K11" s="44">
        <v>12</v>
      </c>
      <c r="L11" s="42"/>
      <c r="M11" s="42"/>
      <c r="N11" s="42"/>
      <c r="O11" s="42"/>
      <c r="P11" s="42"/>
      <c r="Q11" s="69" t="s">
        <v>414</v>
      </c>
      <c r="R11" s="42" t="s">
        <v>166</v>
      </c>
      <c r="S11" s="42"/>
      <c r="T11" s="44"/>
      <c r="U11" s="42" t="s">
        <v>167</v>
      </c>
      <c r="V11" s="42"/>
      <c r="W11" s="42"/>
      <c r="X11" s="43"/>
    </row>
    <row r="13" spans="1:24" x14ac:dyDescent="0.3">
      <c r="A13" s="45" t="s">
        <v>168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spans="1:24" x14ac:dyDescent="0.3">
      <c r="A14" s="45"/>
      <c r="B14" s="45" t="s">
        <v>169</v>
      </c>
      <c r="C14" s="95" t="s">
        <v>55</v>
      </c>
      <c r="D14" s="95"/>
      <c r="E14" s="95"/>
      <c r="F14" s="103" t="s">
        <v>415</v>
      </c>
      <c r="G14" s="96"/>
      <c r="H14" s="96"/>
      <c r="I14" s="96"/>
      <c r="J14" s="96"/>
      <c r="K14" s="94"/>
      <c r="L14" s="45"/>
      <c r="M14" s="45" t="s">
        <v>170</v>
      </c>
      <c r="N14" s="45" t="s">
        <v>171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spans="1:24" x14ac:dyDescent="0.3">
      <c r="A15" s="45"/>
      <c r="B15" s="45" t="s">
        <v>172</v>
      </c>
      <c r="C15" s="95" t="s">
        <v>24</v>
      </c>
      <c r="D15" s="95"/>
      <c r="E15" s="95"/>
      <c r="F15" s="102" t="s">
        <v>416</v>
      </c>
      <c r="G15" s="96"/>
      <c r="H15" s="96"/>
      <c r="I15" s="96"/>
      <c r="J15" s="96"/>
      <c r="K15" s="94"/>
      <c r="L15" s="45"/>
      <c r="M15" s="45"/>
      <c r="N15" s="44"/>
      <c r="O15" s="45" t="s">
        <v>173</v>
      </c>
      <c r="P15" s="44"/>
      <c r="Q15" s="45" t="s">
        <v>174</v>
      </c>
      <c r="R15" s="45"/>
      <c r="S15" s="45"/>
      <c r="T15" s="45"/>
      <c r="U15" s="45"/>
      <c r="V15" s="45"/>
      <c r="W15" s="45"/>
      <c r="X15" s="45"/>
    </row>
    <row r="16" spans="1:24" x14ac:dyDescent="0.3">
      <c r="A16" s="45"/>
      <c r="B16" s="45" t="s">
        <v>175</v>
      </c>
      <c r="C16" s="95" t="s">
        <v>176</v>
      </c>
      <c r="D16" s="95"/>
      <c r="E16" s="95"/>
      <c r="F16" s="70" t="s">
        <v>414</v>
      </c>
      <c r="G16" s="45" t="s">
        <v>177</v>
      </c>
      <c r="H16" s="47"/>
      <c r="I16" s="45" t="s">
        <v>178</v>
      </c>
      <c r="J16" s="47"/>
      <c r="K16" s="46" t="s">
        <v>179</v>
      </c>
      <c r="L16" s="45"/>
      <c r="M16" s="45"/>
      <c r="N16" s="45" t="s">
        <v>180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4" x14ac:dyDescent="0.3">
      <c r="A17" s="45"/>
      <c r="B17" s="45" t="s">
        <v>181</v>
      </c>
      <c r="C17" s="95" t="s">
        <v>182</v>
      </c>
      <c r="D17" s="95"/>
      <c r="E17" s="95"/>
      <c r="F17" s="103" t="s">
        <v>415</v>
      </c>
      <c r="G17" s="96"/>
      <c r="H17" s="96"/>
      <c r="I17" s="96"/>
      <c r="J17" s="96"/>
      <c r="K17" s="94"/>
      <c r="L17" s="45"/>
      <c r="M17" s="45"/>
      <c r="N17" s="45" t="s">
        <v>183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 spans="1:24" x14ac:dyDescent="0.3">
      <c r="A18" s="45"/>
      <c r="B18" s="45" t="s">
        <v>184</v>
      </c>
      <c r="C18" s="95" t="s">
        <v>185</v>
      </c>
      <c r="D18" s="95"/>
      <c r="E18" s="95"/>
      <c r="F18" s="93"/>
      <c r="G18" s="96"/>
      <c r="H18" s="96"/>
      <c r="I18" s="96"/>
      <c r="J18" s="96"/>
      <c r="K18" s="94"/>
      <c r="L18" s="45"/>
      <c r="M18" s="45" t="s">
        <v>186</v>
      </c>
      <c r="N18" s="45" t="s">
        <v>187</v>
      </c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spans="1:24" x14ac:dyDescent="0.3">
      <c r="A19" s="45"/>
      <c r="B19" s="45" t="s">
        <v>188</v>
      </c>
      <c r="C19" s="95" t="s">
        <v>189</v>
      </c>
      <c r="D19" s="95"/>
      <c r="E19" s="95"/>
      <c r="F19" s="93"/>
      <c r="G19" s="96"/>
      <c r="H19" s="96"/>
      <c r="I19" s="96"/>
      <c r="J19" s="96"/>
      <c r="K19" s="94"/>
      <c r="L19" s="45"/>
      <c r="M19" s="45"/>
      <c r="N19" s="93"/>
      <c r="O19" s="96"/>
      <c r="P19" s="96"/>
      <c r="Q19" s="96"/>
      <c r="R19" s="96"/>
      <c r="S19" s="96"/>
      <c r="T19" s="96"/>
      <c r="U19" s="94"/>
      <c r="V19" s="45"/>
      <c r="W19" s="45"/>
      <c r="X19" s="45"/>
    </row>
    <row r="20" spans="1:24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2" spans="1:24" x14ac:dyDescent="0.3">
      <c r="A22" s="91" t="s">
        <v>492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4" x14ac:dyDescent="0.3">
      <c r="A23" s="39">
        <v>1</v>
      </c>
      <c r="B23" s="39" t="s">
        <v>190</v>
      </c>
      <c r="C23" s="39" t="s">
        <v>331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97">
        <f>'LAMP 1  HAL 3'!G18</f>
        <v>2518000000</v>
      </c>
      <c r="S23" s="98"/>
      <c r="T23" s="98"/>
      <c r="U23" s="99"/>
      <c r="V23" s="39"/>
      <c r="W23" s="39"/>
      <c r="X23" s="39"/>
    </row>
    <row r="24" spans="1:24" x14ac:dyDescent="0.3">
      <c r="A24" s="39"/>
      <c r="B24" s="39"/>
      <c r="C24" s="39"/>
      <c r="D24" s="44"/>
      <c r="E24" s="39" t="s">
        <v>191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spans="1:24" x14ac:dyDescent="0.3">
      <c r="A25" s="39"/>
      <c r="B25" s="39"/>
      <c r="C25" s="39"/>
      <c r="D25" s="69" t="s">
        <v>414</v>
      </c>
      <c r="E25" s="39" t="s">
        <v>192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spans="1:24" x14ac:dyDescent="0.3">
      <c r="A26" s="39"/>
      <c r="B26" s="39" t="s">
        <v>193</v>
      </c>
      <c r="C26" s="39" t="s">
        <v>194</v>
      </c>
      <c r="D26" s="39" t="s">
        <v>195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spans="1:24" x14ac:dyDescent="0.3">
      <c r="A27" s="39"/>
      <c r="B27" s="39"/>
      <c r="C27" s="39"/>
      <c r="D27" s="39" t="s">
        <v>196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spans="1:24" x14ac:dyDescent="0.3">
      <c r="A28" s="39"/>
      <c r="B28" s="39"/>
      <c r="C28" s="39"/>
      <c r="D28" s="44"/>
      <c r="E28" s="39" t="s">
        <v>197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spans="1:24" x14ac:dyDescent="0.3">
      <c r="A29" s="39"/>
      <c r="B29" s="39"/>
      <c r="C29" s="39"/>
      <c r="D29" s="69" t="s">
        <v>414</v>
      </c>
      <c r="E29" s="39" t="s">
        <v>198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spans="1:24" x14ac:dyDescent="0.3">
      <c r="A30" s="39"/>
      <c r="B30" s="39"/>
      <c r="C30" s="39" t="s">
        <v>199</v>
      </c>
      <c r="D30" s="39" t="s">
        <v>200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spans="1:24" x14ac:dyDescent="0.3">
      <c r="A31" s="39"/>
      <c r="B31" s="39"/>
      <c r="C31" s="39"/>
      <c r="D31" s="39" t="s">
        <v>201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spans="1:24" x14ac:dyDescent="0.3">
      <c r="A32" s="39"/>
      <c r="B32" s="39"/>
      <c r="C32" s="39"/>
      <c r="D32" s="69" t="s">
        <v>414</v>
      </c>
      <c r="E32" s="39" t="s">
        <v>191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spans="1:24" x14ac:dyDescent="0.3">
      <c r="A33" s="39"/>
      <c r="B33" s="39"/>
      <c r="C33" s="39"/>
      <c r="D33" s="44"/>
      <c r="E33" s="39" t="s">
        <v>202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spans="1:24" x14ac:dyDescent="0.3">
      <c r="A34" s="39"/>
      <c r="B34" s="39"/>
      <c r="C34" s="39"/>
      <c r="D34" s="39"/>
      <c r="E34" s="39" t="s">
        <v>203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spans="1:24" x14ac:dyDescent="0.3">
      <c r="A35" s="39"/>
      <c r="B35" s="39"/>
      <c r="C35" s="39"/>
      <c r="D35" s="44"/>
      <c r="E35" s="39" t="s">
        <v>204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24" x14ac:dyDescent="0.3">
      <c r="A36" s="39"/>
      <c r="B36" s="39"/>
      <c r="C36" s="39" t="s">
        <v>205</v>
      </c>
      <c r="D36" s="39" t="s">
        <v>206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spans="1:24" x14ac:dyDescent="0.3">
      <c r="A37" s="39"/>
      <c r="B37" s="39"/>
      <c r="C37" s="39"/>
      <c r="D37" s="69" t="s">
        <v>414</v>
      </c>
      <c r="E37" s="39" t="s">
        <v>207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spans="1:24" x14ac:dyDescent="0.3">
      <c r="A38" s="39"/>
      <c r="B38" s="39"/>
      <c r="C38" s="39"/>
      <c r="D38" s="44"/>
      <c r="E38" s="39" t="s">
        <v>208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spans="1:24" x14ac:dyDescent="0.3">
      <c r="A39" s="39"/>
      <c r="B39" s="39"/>
      <c r="C39" s="39"/>
      <c r="D39" s="39"/>
      <c r="E39" s="39" t="s">
        <v>209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spans="1:24" x14ac:dyDescent="0.3">
      <c r="A40" s="39"/>
      <c r="B40" s="39"/>
      <c r="C40" s="39"/>
      <c r="D40" s="44"/>
      <c r="E40" s="39" t="s">
        <v>210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spans="1:24" x14ac:dyDescent="0.3">
      <c r="A41" s="39"/>
      <c r="B41" s="39"/>
      <c r="C41" s="39"/>
      <c r="D41" s="39"/>
      <c r="E41" s="39" t="s">
        <v>211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4" x14ac:dyDescent="0.3">
      <c r="A42" s="39"/>
      <c r="B42" s="39"/>
      <c r="C42" s="39" t="s">
        <v>212</v>
      </c>
      <c r="D42" s="39" t="s">
        <v>213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spans="1:24" x14ac:dyDescent="0.3">
      <c r="A43" s="39"/>
      <c r="B43" s="39"/>
      <c r="C43" s="39"/>
      <c r="D43" s="44"/>
      <c r="E43" s="39" t="s">
        <v>214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spans="1:24" x14ac:dyDescent="0.3">
      <c r="A44" s="39"/>
      <c r="B44" s="39"/>
      <c r="C44" s="39"/>
      <c r="D44" s="69" t="s">
        <v>414</v>
      </c>
      <c r="E44" s="39" t="s">
        <v>215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spans="1:24" x14ac:dyDescent="0.3">
      <c r="A45" s="39"/>
      <c r="B45" s="39"/>
      <c r="C45" s="39"/>
      <c r="D45" s="44"/>
      <c r="E45" s="39" t="s">
        <v>216</v>
      </c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1:24" x14ac:dyDescent="0.3">
      <c r="A46" s="39"/>
      <c r="B46" s="39"/>
      <c r="C46" s="39" t="s">
        <v>217</v>
      </c>
      <c r="D46" s="39" t="s">
        <v>218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97">
        <f>'LAMP 3A'!K21</f>
        <v>1023600000</v>
      </c>
      <c r="S46" s="98"/>
      <c r="T46" s="98"/>
      <c r="U46" s="99"/>
      <c r="V46" s="39"/>
      <c r="W46" s="39"/>
      <c r="X46" s="39"/>
    </row>
    <row r="47" spans="1:24" x14ac:dyDescent="0.3">
      <c r="A47" s="39"/>
      <c r="B47" s="39" t="s">
        <v>219</v>
      </c>
      <c r="C47" s="39" t="s">
        <v>220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93"/>
      <c r="S47" s="96"/>
      <c r="T47" s="96"/>
      <c r="U47" s="94"/>
      <c r="V47" s="39"/>
      <c r="W47" s="39"/>
      <c r="X47" s="39"/>
    </row>
    <row r="48" spans="1:24" x14ac:dyDescent="0.3">
      <c r="A48" s="39"/>
      <c r="B48" s="39"/>
      <c r="C48" s="39"/>
      <c r="D48" s="69" t="s">
        <v>414</v>
      </c>
      <c r="E48" s="39" t="s">
        <v>221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spans="1:24" x14ac:dyDescent="0.3">
      <c r="A49" s="39"/>
      <c r="B49" s="39"/>
      <c r="C49" s="39"/>
      <c r="D49" s="44"/>
      <c r="E49" s="39" t="s">
        <v>222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spans="1:24" x14ac:dyDescent="0.3">
      <c r="A50" s="39"/>
      <c r="B50" s="39" t="s">
        <v>223</v>
      </c>
      <c r="C50" s="39" t="s">
        <v>224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93"/>
      <c r="S50" s="96"/>
      <c r="T50" s="96"/>
      <c r="U50" s="94"/>
      <c r="V50" s="39"/>
      <c r="W50" s="39"/>
      <c r="X50" s="39"/>
    </row>
    <row r="51" spans="1:24" x14ac:dyDescent="0.3">
      <c r="A51" s="39"/>
      <c r="B51" s="39"/>
      <c r="C51" s="39"/>
      <c r="D51" s="69" t="s">
        <v>414</v>
      </c>
      <c r="E51" s="39" t="s">
        <v>191</v>
      </c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spans="1:24" x14ac:dyDescent="0.3">
      <c r="A52" s="39"/>
      <c r="B52" s="39"/>
      <c r="C52" s="39"/>
      <c r="D52" s="44"/>
      <c r="E52" s="39" t="s">
        <v>225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spans="1:24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5" spans="1:24" x14ac:dyDescent="0.3">
      <c r="A55" s="91" t="s">
        <v>493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x14ac:dyDescent="0.3">
      <c r="A56" s="39">
        <v>2</v>
      </c>
      <c r="B56" s="39"/>
      <c r="C56" s="39" t="s">
        <v>226</v>
      </c>
      <c r="D56" s="39"/>
      <c r="E56" s="39"/>
      <c r="F56" s="39"/>
      <c r="G56" s="39"/>
      <c r="H56" s="39"/>
      <c r="I56" s="39"/>
      <c r="J56" s="39"/>
      <c r="K56" s="39"/>
      <c r="L56" s="39"/>
      <c r="M56" s="39" t="s">
        <v>227</v>
      </c>
      <c r="N56" s="39"/>
      <c r="O56" s="39"/>
      <c r="P56" s="39"/>
      <c r="Q56" s="39"/>
      <c r="R56" s="100">
        <f>R46+R23</f>
        <v>3541600000</v>
      </c>
      <c r="S56" s="96"/>
      <c r="T56" s="96"/>
      <c r="U56" s="94"/>
      <c r="V56" s="39"/>
      <c r="W56" s="39"/>
      <c r="X56" s="39"/>
    </row>
    <row r="57" spans="1:24" x14ac:dyDescent="0.3">
      <c r="A57" s="39">
        <v>3</v>
      </c>
      <c r="B57" s="39"/>
      <c r="C57" s="39" t="s">
        <v>228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93"/>
      <c r="S57" s="96"/>
      <c r="T57" s="96"/>
      <c r="U57" s="94"/>
      <c r="V57" s="39"/>
      <c r="W57" s="39"/>
      <c r="X57" s="39"/>
    </row>
    <row r="58" spans="1:24" x14ac:dyDescent="0.3">
      <c r="A58" s="39"/>
      <c r="B58" s="39"/>
      <c r="C58" s="39" t="s">
        <v>229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spans="1:24" x14ac:dyDescent="0.3">
      <c r="A59" s="39"/>
      <c r="B59" s="39"/>
      <c r="C59" s="39" t="s">
        <v>230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spans="1:24" x14ac:dyDescent="0.3">
      <c r="A60" s="39"/>
      <c r="B60" s="39"/>
      <c r="C60" s="39"/>
      <c r="D60" s="69" t="s">
        <v>414</v>
      </c>
      <c r="E60" s="39" t="s">
        <v>191</v>
      </c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 x14ac:dyDescent="0.3">
      <c r="A61" s="39"/>
      <c r="B61" s="39"/>
      <c r="C61" s="39"/>
      <c r="D61" s="44"/>
      <c r="E61" s="39" t="s">
        <v>231</v>
      </c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spans="1:24" x14ac:dyDescent="0.3">
      <c r="A62" s="39">
        <v>4</v>
      </c>
      <c r="B62" s="39"/>
      <c r="C62" s="39" t="s">
        <v>232</v>
      </c>
      <c r="D62" s="39"/>
      <c r="E62" s="39"/>
      <c r="F62" s="39"/>
      <c r="G62" s="39"/>
      <c r="H62" s="39"/>
      <c r="I62" s="39"/>
      <c r="J62" s="39"/>
      <c r="K62" s="39"/>
      <c r="L62" s="39"/>
      <c r="M62" s="39" t="s">
        <v>233</v>
      </c>
      <c r="N62" s="39"/>
      <c r="O62" s="39"/>
      <c r="P62" s="39"/>
      <c r="Q62" s="39"/>
      <c r="R62" s="100">
        <f>R56</f>
        <v>3541600000</v>
      </c>
      <c r="S62" s="96"/>
      <c r="T62" s="96"/>
      <c r="U62" s="94"/>
      <c r="V62" s="39"/>
      <c r="W62" s="39"/>
      <c r="X62" s="39"/>
    </row>
    <row r="63" spans="1:24" x14ac:dyDescent="0.3">
      <c r="A63" s="39">
        <v>5</v>
      </c>
      <c r="B63" s="39"/>
      <c r="C63" s="39" t="s">
        <v>234</v>
      </c>
      <c r="D63" s="39"/>
      <c r="E63" s="39"/>
      <c r="F63" s="39"/>
      <c r="G63" s="39"/>
      <c r="H63" s="39"/>
      <c r="I63" s="39"/>
      <c r="J63" s="39"/>
      <c r="K63" s="39"/>
      <c r="L63" s="39"/>
      <c r="M63" s="102" t="s">
        <v>419</v>
      </c>
      <c r="N63" s="96"/>
      <c r="O63" s="96"/>
      <c r="P63" s="94"/>
      <c r="Q63" s="39"/>
      <c r="R63" s="97">
        <f>54000000+54000000+4500000+4500000+4500000</f>
        <v>121500000</v>
      </c>
      <c r="S63" s="98"/>
      <c r="T63" s="98"/>
      <c r="U63" s="99"/>
      <c r="V63" s="39"/>
      <c r="W63" s="39"/>
      <c r="X63" s="39"/>
    </row>
    <row r="64" spans="1:24" x14ac:dyDescent="0.3">
      <c r="A64" s="39">
        <v>6</v>
      </c>
      <c r="B64" s="39"/>
      <c r="C64" s="39" t="s">
        <v>235</v>
      </c>
      <c r="D64" s="39"/>
      <c r="E64" s="39"/>
      <c r="F64" s="39"/>
      <c r="G64" s="39"/>
      <c r="H64" s="39"/>
      <c r="I64" s="39"/>
      <c r="J64" s="39"/>
      <c r="K64" s="39"/>
      <c r="L64" s="39"/>
      <c r="M64" s="39" t="s">
        <v>236</v>
      </c>
      <c r="N64" s="39"/>
      <c r="O64" s="39"/>
      <c r="P64" s="39"/>
      <c r="Q64" s="39"/>
      <c r="R64" s="100">
        <f>R62-R63</f>
        <v>3420100000</v>
      </c>
      <c r="S64" s="96"/>
      <c r="T64" s="96"/>
      <c r="U64" s="94"/>
      <c r="V64" s="39"/>
      <c r="W64" s="39"/>
      <c r="X64" s="39"/>
    </row>
    <row r="65" spans="1:24" x14ac:dyDescent="0.3">
      <c r="A65" s="39">
        <v>7</v>
      </c>
      <c r="B65" s="39"/>
      <c r="C65" s="39" t="s">
        <v>50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97">
        <f>(5%*60000000)+(15%*190000000)+(25%*250000000)+(30%*(R64-500000000))</f>
        <v>970030000</v>
      </c>
      <c r="S65" s="98"/>
      <c r="T65" s="98"/>
      <c r="U65" s="99"/>
      <c r="V65" s="39"/>
      <c r="W65" s="39"/>
      <c r="X65" s="39"/>
    </row>
    <row r="66" spans="1:24" x14ac:dyDescent="0.3">
      <c r="A66" s="39">
        <v>8</v>
      </c>
      <c r="B66" s="39"/>
      <c r="C66" s="39" t="s">
        <v>237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93"/>
      <c r="S66" s="96"/>
      <c r="T66" s="96"/>
      <c r="U66" s="94"/>
      <c r="V66" s="39"/>
      <c r="W66" s="39"/>
      <c r="X66" s="39"/>
    </row>
    <row r="67" spans="1:24" x14ac:dyDescent="0.3">
      <c r="A67" s="39"/>
      <c r="B67" s="39"/>
      <c r="C67" s="39"/>
      <c r="D67" s="69" t="s">
        <v>414</v>
      </c>
      <c r="E67" s="39" t="s">
        <v>238</v>
      </c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49"/>
      <c r="S67" s="49"/>
      <c r="T67" s="49"/>
      <c r="U67" s="49"/>
      <c r="V67" s="39"/>
      <c r="W67" s="39"/>
      <c r="X67" s="39"/>
    </row>
    <row r="68" spans="1:24" x14ac:dyDescent="0.3">
      <c r="A68" s="39"/>
      <c r="B68" s="39"/>
      <c r="C68" s="39"/>
      <c r="D68" s="44"/>
      <c r="E68" s="39" t="s">
        <v>239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spans="1:24" x14ac:dyDescent="0.3">
      <c r="A69" s="39">
        <v>9</v>
      </c>
      <c r="B69" s="39"/>
      <c r="C69" s="39" t="s">
        <v>240</v>
      </c>
      <c r="D69" s="39"/>
      <c r="E69" s="39"/>
      <c r="F69" s="39"/>
      <c r="G69" s="39"/>
      <c r="H69" s="39"/>
      <c r="I69" s="39"/>
      <c r="J69" s="39"/>
      <c r="K69" s="39"/>
      <c r="L69" s="39"/>
      <c r="M69" s="39" t="s">
        <v>241</v>
      </c>
      <c r="N69" s="39"/>
      <c r="O69" s="39"/>
      <c r="P69" s="39"/>
      <c r="Q69" s="39"/>
      <c r="R69" s="100">
        <f>R65</f>
        <v>970030000</v>
      </c>
      <c r="S69" s="96"/>
      <c r="T69" s="96"/>
      <c r="U69" s="94"/>
      <c r="V69" s="39"/>
      <c r="W69" s="39"/>
      <c r="X69" s="39"/>
    </row>
    <row r="70" spans="1:24" x14ac:dyDescent="0.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spans="1:24" x14ac:dyDescent="0.3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spans="1:24" x14ac:dyDescent="0.3">
      <c r="A72" s="39" t="s">
        <v>242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spans="1:24" x14ac:dyDescent="0.3">
      <c r="A73" s="39">
        <v>10</v>
      </c>
      <c r="B73" s="39" t="s">
        <v>190</v>
      </c>
      <c r="C73" s="39" t="s">
        <v>243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100">
        <f>'LAMP 1  HAL 3'!G29</f>
        <v>537750000</v>
      </c>
      <c r="S73" s="104"/>
      <c r="T73" s="104"/>
      <c r="U73" s="105"/>
      <c r="V73" s="39"/>
      <c r="W73" s="39"/>
      <c r="X73" s="39"/>
    </row>
    <row r="74" spans="1:24" x14ac:dyDescent="0.3">
      <c r="A74" s="39"/>
      <c r="B74" s="39"/>
      <c r="C74" s="39"/>
      <c r="D74" s="44"/>
      <c r="E74" s="39" t="s">
        <v>238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spans="1:24" x14ac:dyDescent="0.3">
      <c r="A75" s="39"/>
      <c r="B75" s="39"/>
      <c r="C75" s="39"/>
      <c r="D75" s="69" t="s">
        <v>414</v>
      </c>
      <c r="E75" s="39" t="s">
        <v>244</v>
      </c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spans="1:24" x14ac:dyDescent="0.3">
      <c r="A76" s="39"/>
      <c r="B76" s="39" t="s">
        <v>245</v>
      </c>
      <c r="C76" s="39" t="s">
        <v>246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97">
        <v>388613500</v>
      </c>
      <c r="S76" s="98"/>
      <c r="T76" s="98"/>
      <c r="U76" s="99"/>
      <c r="V76" s="39"/>
      <c r="W76" s="39"/>
      <c r="X76" s="39"/>
    </row>
    <row r="77" spans="1:24" x14ac:dyDescent="0.3">
      <c r="A77" s="39"/>
      <c r="B77" s="39" t="s">
        <v>219</v>
      </c>
      <c r="C77" s="39" t="s">
        <v>332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93"/>
      <c r="S77" s="96"/>
      <c r="T77" s="96"/>
      <c r="U77" s="94"/>
      <c r="V77" s="39"/>
      <c r="W77" s="39"/>
      <c r="X77" s="39"/>
    </row>
    <row r="78" spans="1:24" x14ac:dyDescent="0.3">
      <c r="A78" s="39"/>
      <c r="B78" s="39" t="s">
        <v>223</v>
      </c>
      <c r="C78" s="39" t="s">
        <v>247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93"/>
      <c r="S78" s="96"/>
      <c r="T78" s="96"/>
      <c r="U78" s="94"/>
      <c r="V78" s="39"/>
      <c r="W78" s="39"/>
      <c r="X78" s="39"/>
    </row>
    <row r="79" spans="1:24" x14ac:dyDescent="0.3">
      <c r="A79" s="39"/>
      <c r="B79" s="39"/>
      <c r="C79" s="39" t="s">
        <v>248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spans="1:24" x14ac:dyDescent="0.3">
      <c r="A80" s="39"/>
      <c r="B80" s="39"/>
      <c r="C80" s="39"/>
      <c r="D80" s="69" t="s">
        <v>414</v>
      </c>
      <c r="E80" s="39" t="s">
        <v>238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spans="1:24" x14ac:dyDescent="0.3">
      <c r="A81" s="39"/>
      <c r="B81" s="39"/>
      <c r="C81" s="39"/>
      <c r="D81" s="44"/>
      <c r="E81" s="39" t="s">
        <v>249</v>
      </c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spans="1:24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spans="1:24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spans="1:24" x14ac:dyDescent="0.3">
      <c r="A84" s="39" t="s">
        <v>250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spans="1:24" x14ac:dyDescent="0.3">
      <c r="A85" s="39">
        <v>11</v>
      </c>
      <c r="B85" s="39" t="s">
        <v>251</v>
      </c>
      <c r="C85" s="39" t="s">
        <v>252</v>
      </c>
      <c r="D85" s="39"/>
      <c r="E85" s="39"/>
      <c r="F85" s="39"/>
      <c r="G85" s="39"/>
      <c r="H85" s="39"/>
      <c r="I85" s="39"/>
      <c r="J85" s="39"/>
      <c r="K85" s="39"/>
      <c r="L85" s="39"/>
      <c r="M85" s="39" t="s">
        <v>253</v>
      </c>
      <c r="N85" s="39"/>
      <c r="O85" s="39"/>
      <c r="P85" s="39"/>
      <c r="Q85" s="39"/>
      <c r="R85" s="100">
        <f>R69-R73-R76</f>
        <v>43666500</v>
      </c>
      <c r="S85" s="104"/>
      <c r="T85" s="104"/>
      <c r="U85" s="105"/>
      <c r="V85" s="39"/>
      <c r="W85" s="39"/>
      <c r="X85" s="39"/>
    </row>
    <row r="86" spans="1:24" x14ac:dyDescent="0.3">
      <c r="A86" s="39"/>
      <c r="B86" s="39" t="s">
        <v>193</v>
      </c>
      <c r="C86" s="39" t="s">
        <v>254</v>
      </c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93"/>
      <c r="S86" s="96"/>
      <c r="T86" s="96"/>
      <c r="U86" s="94"/>
      <c r="V86" s="39"/>
      <c r="W86" s="39"/>
      <c r="X86" s="39"/>
    </row>
    <row r="87" spans="1:24" x14ac:dyDescent="0.3">
      <c r="A87" s="39"/>
      <c r="B87" s="39"/>
      <c r="C87" s="39" t="s">
        <v>255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spans="1:24" x14ac:dyDescent="0.3">
      <c r="A88" s="39"/>
      <c r="B88" s="39"/>
      <c r="C88" s="39"/>
      <c r="D88" s="69" t="s">
        <v>414</v>
      </c>
      <c r="E88" s="39" t="s">
        <v>256</v>
      </c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spans="1:24" x14ac:dyDescent="0.3">
      <c r="A89" s="39"/>
      <c r="B89" s="39"/>
      <c r="C89" s="39"/>
      <c r="D89" s="44"/>
      <c r="E89" s="39" t="s">
        <v>257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spans="1:24" x14ac:dyDescent="0.3">
      <c r="A90" s="39"/>
      <c r="B90" s="39"/>
      <c r="C90" s="39"/>
      <c r="D90" s="39"/>
      <c r="E90" s="39" t="s">
        <v>258</v>
      </c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spans="1:24" x14ac:dyDescent="0.3">
      <c r="A91" s="39"/>
      <c r="B91" s="39" t="s">
        <v>259</v>
      </c>
      <c r="C91" s="39" t="s">
        <v>260</v>
      </c>
      <c r="D91" s="39"/>
      <c r="E91" s="39"/>
      <c r="F91" s="39"/>
      <c r="G91" s="39"/>
      <c r="H91" s="39"/>
      <c r="I91" s="39"/>
      <c r="J91" s="39"/>
      <c r="K91" s="39"/>
      <c r="L91" s="39"/>
      <c r="M91" s="39" t="s">
        <v>261</v>
      </c>
      <c r="N91" s="39"/>
      <c r="O91" s="39"/>
      <c r="P91" s="39"/>
      <c r="Q91" s="39"/>
      <c r="R91" s="100">
        <f>R85</f>
        <v>43666500</v>
      </c>
      <c r="S91" s="96"/>
      <c r="T91" s="96"/>
      <c r="U91" s="94"/>
      <c r="V91" s="39"/>
      <c r="W91" s="39"/>
      <c r="X91" s="39"/>
    </row>
    <row r="92" spans="1:24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4" spans="1:24" x14ac:dyDescent="0.3">
      <c r="A94" s="45" t="s">
        <v>262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x14ac:dyDescent="0.3">
      <c r="A95" s="39">
        <v>12</v>
      </c>
      <c r="B95" s="39" t="s">
        <v>190</v>
      </c>
      <c r="C95" s="39" t="s">
        <v>263</v>
      </c>
      <c r="D95" s="39"/>
      <c r="E95" s="39"/>
      <c r="F95" s="39"/>
      <c r="G95" s="39"/>
      <c r="H95" s="39"/>
      <c r="I95" s="39"/>
      <c r="J95" s="39"/>
      <c r="K95" s="39"/>
      <c r="L95" s="39"/>
      <c r="M95" s="44"/>
      <c r="N95" s="39" t="s">
        <v>264</v>
      </c>
      <c r="O95" s="39"/>
      <c r="P95" s="39"/>
      <c r="Q95" s="39"/>
      <c r="R95" s="93"/>
      <c r="S95" s="96"/>
      <c r="T95" s="96"/>
      <c r="U95" s="94"/>
      <c r="V95" s="39"/>
      <c r="W95" s="39"/>
      <c r="X95" s="39"/>
    </row>
    <row r="96" spans="1:24" x14ac:dyDescent="0.3">
      <c r="A96" s="39"/>
      <c r="B96" s="39" t="s">
        <v>245</v>
      </c>
      <c r="C96" s="39" t="s">
        <v>265</v>
      </c>
      <c r="D96" s="39"/>
      <c r="E96" s="39"/>
      <c r="F96" s="39"/>
      <c r="G96" s="39"/>
      <c r="H96" s="39"/>
      <c r="I96" s="39"/>
      <c r="J96" s="39"/>
      <c r="K96" s="39"/>
      <c r="L96" s="39"/>
      <c r="M96" s="39" t="s">
        <v>266</v>
      </c>
      <c r="N96" s="39"/>
      <c r="O96" s="39"/>
      <c r="P96" s="39"/>
      <c r="Q96" s="39"/>
      <c r="R96" s="93"/>
      <c r="S96" s="96"/>
      <c r="T96" s="96"/>
      <c r="U96" s="94"/>
      <c r="V96" s="39"/>
      <c r="W96" s="39"/>
      <c r="X96" s="39"/>
    </row>
    <row r="97" spans="1:24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9" spans="1:24" x14ac:dyDescent="0.3">
      <c r="A99" s="45" t="s">
        <v>267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x14ac:dyDescent="0.3">
      <c r="A100" s="39"/>
      <c r="B100" s="39" t="s">
        <v>268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 t="s">
        <v>269</v>
      </c>
      <c r="N100" s="39"/>
      <c r="O100" s="39"/>
      <c r="P100" s="93"/>
      <c r="Q100" s="96"/>
      <c r="R100" s="94"/>
      <c r="S100" s="39" t="s">
        <v>270</v>
      </c>
      <c r="T100" s="93"/>
      <c r="U100" s="94"/>
      <c r="V100" s="39"/>
      <c r="W100" s="39"/>
      <c r="X100" s="39"/>
    </row>
    <row r="101" spans="1:24" x14ac:dyDescent="0.3">
      <c r="A101" s="39"/>
      <c r="B101" s="93"/>
      <c r="C101" s="94"/>
      <c r="D101" s="39" t="s">
        <v>271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 spans="1:24" x14ac:dyDescent="0.3">
      <c r="A102" s="39"/>
      <c r="B102" s="93"/>
      <c r="C102" s="94"/>
      <c r="D102" s="39" t="s">
        <v>272</v>
      </c>
      <c r="E102" s="39"/>
      <c r="F102" s="39"/>
      <c r="G102" s="39"/>
      <c r="H102" s="39"/>
      <c r="I102" s="39"/>
      <c r="J102" s="39"/>
      <c r="K102" s="39"/>
      <c r="L102" s="39"/>
      <c r="M102" s="39" t="s">
        <v>273</v>
      </c>
      <c r="N102" s="39"/>
      <c r="O102" s="39"/>
      <c r="P102" s="93"/>
      <c r="Q102" s="96"/>
      <c r="R102" s="96"/>
      <c r="S102" s="96"/>
      <c r="T102" s="96"/>
      <c r="U102" s="94"/>
      <c r="V102" s="39"/>
      <c r="W102" s="39"/>
      <c r="X102" s="39"/>
    </row>
    <row r="103" spans="1:24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5" spans="1:24" x14ac:dyDescent="0.3">
      <c r="A105" s="45" t="s">
        <v>274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x14ac:dyDescent="0.3">
      <c r="A106" s="39">
        <v>13</v>
      </c>
      <c r="B106" s="39" t="s">
        <v>251</v>
      </c>
      <c r="C106" s="39" t="s">
        <v>275</v>
      </c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100">
        <f>1/12*(R69-R73)</f>
        <v>36023333.333333328</v>
      </c>
      <c r="S106" s="96"/>
      <c r="T106" s="96"/>
      <c r="U106" s="94"/>
      <c r="V106" s="39"/>
      <c r="W106" s="39"/>
      <c r="X106" s="39"/>
    </row>
    <row r="107" spans="1:24" x14ac:dyDescent="0.3">
      <c r="A107" s="39"/>
      <c r="B107" s="39"/>
      <c r="C107" s="39" t="s">
        <v>276</v>
      </c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 spans="1:24" x14ac:dyDescent="0.3">
      <c r="A108" s="39"/>
      <c r="B108" s="39"/>
      <c r="C108" s="39"/>
      <c r="D108" s="44"/>
      <c r="E108" s="39" t="s">
        <v>191</v>
      </c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 spans="1:24" x14ac:dyDescent="0.3">
      <c r="A109" s="39"/>
      <c r="B109" s="39"/>
      <c r="C109" s="39"/>
      <c r="D109" s="69" t="s">
        <v>414</v>
      </c>
      <c r="E109" s="39" t="s">
        <v>277</v>
      </c>
      <c r="F109" s="39"/>
      <c r="G109" s="39"/>
      <c r="H109" s="39"/>
      <c r="I109" s="39"/>
      <c r="J109" s="39"/>
      <c r="K109" s="39"/>
      <c r="L109" s="39" t="s">
        <v>278</v>
      </c>
      <c r="M109" s="44">
        <v>12</v>
      </c>
      <c r="N109" s="39" t="s">
        <v>279</v>
      </c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 spans="1:24" x14ac:dyDescent="0.3">
      <c r="A110" s="39"/>
      <c r="B110" s="39" t="s">
        <v>245</v>
      </c>
      <c r="C110" s="39" t="s">
        <v>280</v>
      </c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93"/>
      <c r="S110" s="96"/>
      <c r="T110" s="96"/>
      <c r="U110" s="94"/>
      <c r="V110" s="39"/>
      <c r="W110" s="39"/>
      <c r="X110" s="39"/>
    </row>
    <row r="111" spans="1:24" x14ac:dyDescent="0.3">
      <c r="A111" s="39"/>
      <c r="B111" s="39"/>
      <c r="C111" s="39" t="s">
        <v>281</v>
      </c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</row>
    <row r="112" spans="1:24" x14ac:dyDescent="0.3">
      <c r="A112" s="39"/>
      <c r="B112" s="39"/>
      <c r="C112" s="39"/>
      <c r="D112" s="69" t="s">
        <v>414</v>
      </c>
      <c r="E112" s="39" t="s">
        <v>191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</row>
    <row r="113" spans="1:24" x14ac:dyDescent="0.3">
      <c r="A113" s="39"/>
      <c r="B113" s="39"/>
      <c r="C113" s="39"/>
      <c r="D113" s="44"/>
      <c r="E113" s="39" t="s">
        <v>282</v>
      </c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 spans="1:24" x14ac:dyDescent="0.3">
      <c r="A114" s="39"/>
      <c r="B114" s="39" t="s">
        <v>219</v>
      </c>
      <c r="C114" s="39" t="s">
        <v>283</v>
      </c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 spans="1:24" x14ac:dyDescent="0.3">
      <c r="A115" s="39"/>
      <c r="B115" s="39"/>
      <c r="C115" s="39"/>
      <c r="D115" s="69" t="s">
        <v>414</v>
      </c>
      <c r="E115" s="39" t="s">
        <v>284</v>
      </c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 spans="1:24" x14ac:dyDescent="0.3">
      <c r="A116" s="39"/>
      <c r="B116" s="39"/>
      <c r="C116" s="39"/>
      <c r="D116" s="44"/>
      <c r="E116" s="39" t="s">
        <v>285</v>
      </c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 spans="1:24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9" spans="1:24" x14ac:dyDescent="0.3">
      <c r="A119" s="45" t="s">
        <v>286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x14ac:dyDescent="0.3">
      <c r="A120" s="39">
        <v>14</v>
      </c>
      <c r="B120" s="39" t="s">
        <v>251</v>
      </c>
      <c r="C120" s="39" t="s">
        <v>287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97">
        <v>3095000000</v>
      </c>
      <c r="S120" s="98"/>
      <c r="T120" s="98"/>
      <c r="U120" s="99"/>
      <c r="V120" s="39"/>
      <c r="W120" s="39"/>
      <c r="X120" s="39"/>
    </row>
    <row r="121" spans="1:24" x14ac:dyDescent="0.3">
      <c r="A121" s="39"/>
      <c r="B121" s="39" t="s">
        <v>245</v>
      </c>
      <c r="C121" s="39" t="s">
        <v>288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97">
        <f>'LAMP 1  HAL 2'!K63</f>
        <v>1360000000</v>
      </c>
      <c r="S121" s="98"/>
      <c r="T121" s="98"/>
      <c r="U121" s="99"/>
      <c r="V121" s="39"/>
      <c r="W121" s="39"/>
      <c r="X121" s="39"/>
    </row>
    <row r="122" spans="1:24" x14ac:dyDescent="0.3">
      <c r="A122" s="39"/>
      <c r="B122" s="39"/>
      <c r="C122" s="39"/>
      <c r="D122" s="44"/>
      <c r="E122" s="39" t="s">
        <v>191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74"/>
      <c r="S122" s="74"/>
      <c r="T122" s="74"/>
      <c r="U122" s="74"/>
      <c r="V122" s="39"/>
      <c r="W122" s="39"/>
      <c r="X122" s="39"/>
    </row>
    <row r="123" spans="1:24" x14ac:dyDescent="0.3">
      <c r="A123" s="39"/>
      <c r="B123" s="39"/>
      <c r="C123" s="39"/>
      <c r="D123" s="69" t="s">
        <v>414</v>
      </c>
      <c r="E123" s="39" t="s">
        <v>289</v>
      </c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74"/>
      <c r="S123" s="74"/>
      <c r="T123" s="74"/>
      <c r="U123" s="74"/>
      <c r="V123" s="39"/>
      <c r="W123" s="39"/>
      <c r="X123" s="39"/>
    </row>
    <row r="124" spans="1:24" x14ac:dyDescent="0.3">
      <c r="A124" s="39"/>
      <c r="B124" s="39" t="s">
        <v>219</v>
      </c>
      <c r="C124" s="39" t="s">
        <v>290</v>
      </c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97"/>
      <c r="S124" s="98"/>
      <c r="T124" s="98"/>
      <c r="U124" s="99"/>
      <c r="V124" s="39"/>
      <c r="W124" s="39"/>
      <c r="X124" s="39"/>
    </row>
    <row r="125" spans="1:24" x14ac:dyDescent="0.3">
      <c r="A125" s="39"/>
      <c r="B125" s="39"/>
      <c r="C125" s="39"/>
      <c r="D125" s="69" t="s">
        <v>414</v>
      </c>
      <c r="E125" s="39" t="s">
        <v>191</v>
      </c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74"/>
      <c r="S125" s="74"/>
      <c r="T125" s="74"/>
      <c r="U125" s="74"/>
      <c r="V125" s="39"/>
      <c r="W125" s="39"/>
      <c r="X125" s="39"/>
    </row>
    <row r="126" spans="1:24" x14ac:dyDescent="0.3">
      <c r="A126" s="39"/>
      <c r="B126" s="39"/>
      <c r="C126" s="39"/>
      <c r="D126" s="44"/>
      <c r="E126" s="39" t="s">
        <v>291</v>
      </c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74"/>
      <c r="S126" s="74"/>
      <c r="T126" s="74"/>
      <c r="U126" s="74"/>
      <c r="V126" s="39"/>
      <c r="W126" s="39"/>
      <c r="X126" s="39"/>
    </row>
    <row r="127" spans="1:24" x14ac:dyDescent="0.3">
      <c r="A127" s="39"/>
      <c r="B127" s="39" t="s">
        <v>292</v>
      </c>
      <c r="C127" s="39" t="s">
        <v>293</v>
      </c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97"/>
      <c r="S127" s="98"/>
      <c r="T127" s="98"/>
      <c r="U127" s="99"/>
      <c r="V127" s="39"/>
      <c r="W127" s="39"/>
      <c r="X127" s="39"/>
    </row>
    <row r="128" spans="1:24" x14ac:dyDescent="0.3">
      <c r="A128" s="39"/>
      <c r="B128" s="39"/>
      <c r="C128" s="39"/>
      <c r="D128" s="69" t="s">
        <v>414</v>
      </c>
      <c r="E128" s="39" t="s">
        <v>191</v>
      </c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x14ac:dyDescent="0.3">
      <c r="A129" s="39"/>
      <c r="B129" s="39"/>
      <c r="C129" s="39"/>
      <c r="D129" s="44"/>
      <c r="E129" s="39" t="s">
        <v>294</v>
      </c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 spans="1:24" x14ac:dyDescent="0.3">
      <c r="A130" s="39"/>
      <c r="B130" s="39" t="s">
        <v>295</v>
      </c>
      <c r="C130" s="39" t="s">
        <v>296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 spans="1:24" x14ac:dyDescent="0.3">
      <c r="A131" s="39"/>
      <c r="B131" s="39"/>
      <c r="C131" s="39"/>
      <c r="D131" s="44"/>
      <c r="E131" s="39" t="s">
        <v>191</v>
      </c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x14ac:dyDescent="0.3">
      <c r="A132" s="39"/>
      <c r="B132" s="39"/>
      <c r="C132" s="39"/>
      <c r="D132" s="69" t="s">
        <v>484</v>
      </c>
      <c r="E132" s="39" t="s">
        <v>297</v>
      </c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x14ac:dyDescent="0.3">
      <c r="A133" s="39"/>
      <c r="B133" s="39" t="s">
        <v>298</v>
      </c>
      <c r="C133" s="39" t="s">
        <v>299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x14ac:dyDescent="0.3">
      <c r="A134" s="39"/>
      <c r="B134" s="39"/>
      <c r="C134" s="39" t="s">
        <v>300</v>
      </c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x14ac:dyDescent="0.3">
      <c r="A135" s="39"/>
      <c r="B135" s="39"/>
      <c r="C135" s="39" t="s">
        <v>301</v>
      </c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x14ac:dyDescent="0.3">
      <c r="A136" s="39"/>
      <c r="B136" s="39"/>
      <c r="C136" s="39"/>
      <c r="D136" s="69" t="s">
        <v>414</v>
      </c>
      <c r="E136" s="39" t="s">
        <v>191</v>
      </c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x14ac:dyDescent="0.3">
      <c r="A137" s="39"/>
      <c r="B137" s="39"/>
      <c r="C137" s="39"/>
      <c r="D137" s="44"/>
      <c r="E137" s="39" t="s">
        <v>302</v>
      </c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x14ac:dyDescent="0.3">
      <c r="A138" s="39"/>
      <c r="B138" s="39" t="s">
        <v>303</v>
      </c>
      <c r="C138" s="39" t="s">
        <v>304</v>
      </c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x14ac:dyDescent="0.3">
      <c r="A139" s="39"/>
      <c r="B139" s="39"/>
      <c r="C139" s="39" t="s">
        <v>305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x14ac:dyDescent="0.3">
      <c r="A140" s="39"/>
      <c r="B140" s="39"/>
      <c r="C140" s="39"/>
      <c r="D140" s="69" t="s">
        <v>414</v>
      </c>
      <c r="E140" s="39" t="s">
        <v>191</v>
      </c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x14ac:dyDescent="0.3">
      <c r="A141" s="39"/>
      <c r="B141" s="39"/>
      <c r="C141" s="39"/>
      <c r="D141" s="44"/>
      <c r="E141" s="39" t="s">
        <v>306</v>
      </c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x14ac:dyDescent="0.3">
      <c r="A142" s="39"/>
      <c r="B142" s="39" t="s">
        <v>307</v>
      </c>
      <c r="C142" s="39" t="s">
        <v>308</v>
      </c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93"/>
      <c r="S142" s="96"/>
      <c r="T142" s="96"/>
      <c r="U142" s="94"/>
      <c r="V142" s="39"/>
      <c r="W142" s="39"/>
      <c r="X142" s="39"/>
    </row>
    <row r="143" spans="1:24" x14ac:dyDescent="0.3">
      <c r="A143" s="39"/>
      <c r="B143" s="39"/>
      <c r="C143" s="39" t="s">
        <v>309</v>
      </c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x14ac:dyDescent="0.3">
      <c r="A144" s="39"/>
      <c r="B144" s="39"/>
      <c r="C144" s="39"/>
      <c r="D144" s="39" t="s">
        <v>310</v>
      </c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x14ac:dyDescent="0.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7" spans="1:24" x14ac:dyDescent="0.3">
      <c r="A147" s="45" t="s">
        <v>311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 spans="1:24" x14ac:dyDescent="0.3">
      <c r="A148" s="39"/>
      <c r="B148" s="39" t="s">
        <v>190</v>
      </c>
      <c r="C148" s="39" t="s">
        <v>312</v>
      </c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44"/>
      <c r="O148" s="39" t="s">
        <v>313</v>
      </c>
      <c r="P148" s="69" t="s">
        <v>414</v>
      </c>
      <c r="Q148" s="39" t="s">
        <v>314</v>
      </c>
      <c r="R148" s="39"/>
      <c r="S148" s="39"/>
      <c r="T148" s="39"/>
      <c r="U148" s="39"/>
      <c r="V148" s="39"/>
      <c r="W148" s="39"/>
      <c r="X148" s="39"/>
    </row>
    <row r="149" spans="1:24" x14ac:dyDescent="0.3">
      <c r="A149" s="39"/>
      <c r="B149" s="39" t="s">
        <v>245</v>
      </c>
      <c r="C149" s="39" t="s">
        <v>315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4"/>
      <c r="O149" s="39" t="s">
        <v>313</v>
      </c>
      <c r="P149" s="44"/>
      <c r="Q149" s="39" t="s">
        <v>314</v>
      </c>
      <c r="R149" s="39"/>
      <c r="S149" s="39"/>
      <c r="T149" s="39"/>
      <c r="U149" s="39"/>
      <c r="V149" s="39"/>
      <c r="W149" s="39"/>
      <c r="X149" s="39"/>
    </row>
    <row r="150" spans="1:24" x14ac:dyDescent="0.3">
      <c r="A150" s="39"/>
      <c r="B150" s="39" t="s">
        <v>219</v>
      </c>
      <c r="C150" s="39" t="s">
        <v>316</v>
      </c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44"/>
      <c r="O150" s="39" t="s">
        <v>313</v>
      </c>
      <c r="P150" s="44"/>
      <c r="Q150" s="39" t="s">
        <v>314</v>
      </c>
      <c r="R150" s="39"/>
      <c r="S150" s="39"/>
      <c r="T150" s="39"/>
      <c r="U150" s="39"/>
      <c r="V150" s="39"/>
      <c r="W150" s="39"/>
      <c r="X150" s="39"/>
    </row>
    <row r="151" spans="1:24" x14ac:dyDescent="0.3">
      <c r="A151" s="39"/>
      <c r="B151" s="39"/>
      <c r="C151" s="39" t="s">
        <v>317</v>
      </c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x14ac:dyDescent="0.3">
      <c r="A152" s="39"/>
      <c r="B152" s="39" t="s">
        <v>292</v>
      </c>
      <c r="C152" s="39" t="s">
        <v>318</v>
      </c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44"/>
      <c r="O152" s="39" t="s">
        <v>313</v>
      </c>
      <c r="P152" s="44"/>
      <c r="Q152" s="39" t="s">
        <v>314</v>
      </c>
      <c r="R152" s="39"/>
      <c r="S152" s="39"/>
      <c r="T152" s="39"/>
      <c r="U152" s="39"/>
      <c r="V152" s="39"/>
      <c r="W152" s="39"/>
      <c r="X152" s="39"/>
    </row>
    <row r="153" spans="1:24" x14ac:dyDescent="0.3">
      <c r="A153" s="39"/>
      <c r="B153" s="39" t="s">
        <v>295</v>
      </c>
      <c r="C153" s="39" t="s">
        <v>319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44"/>
      <c r="O153" s="39" t="s">
        <v>313</v>
      </c>
      <c r="P153" s="44"/>
      <c r="Q153" s="39" t="s">
        <v>314</v>
      </c>
      <c r="R153" s="39"/>
      <c r="S153" s="39"/>
      <c r="T153" s="39"/>
      <c r="U153" s="39"/>
      <c r="V153" s="39"/>
      <c r="W153" s="39"/>
      <c r="X153" s="39"/>
    </row>
    <row r="154" spans="1:24" x14ac:dyDescent="0.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6" spans="1:24" x14ac:dyDescent="0.3">
      <c r="A156" s="18" t="s">
        <v>320</v>
      </c>
      <c r="B156" s="18" t="s">
        <v>321</v>
      </c>
    </row>
    <row r="157" spans="1:24" x14ac:dyDescent="0.3">
      <c r="A157" s="48"/>
      <c r="B157" s="93"/>
      <c r="C157" s="94"/>
      <c r="D157" s="48"/>
      <c r="E157" s="48" t="s">
        <v>322</v>
      </c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</row>
    <row r="158" spans="1:24" x14ac:dyDescent="0.3">
      <c r="A158" s="48"/>
      <c r="B158" s="48"/>
      <c r="C158" s="48"/>
      <c r="D158" s="48"/>
      <c r="E158" s="48" t="s">
        <v>323</v>
      </c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</row>
    <row r="159" spans="1:24" x14ac:dyDescent="0.3">
      <c r="A159" s="48"/>
      <c r="B159" s="48"/>
      <c r="C159" s="48"/>
      <c r="D159" s="48"/>
      <c r="E159" s="48" t="s">
        <v>324</v>
      </c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</row>
    <row r="161" spans="1:24" x14ac:dyDescent="0.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 t="s">
        <v>325</v>
      </c>
      <c r="P161" s="39"/>
      <c r="Q161" s="39" t="s">
        <v>155</v>
      </c>
      <c r="R161" s="39"/>
      <c r="S161" s="39" t="s">
        <v>326</v>
      </c>
      <c r="T161" s="39"/>
      <c r="U161" s="39"/>
      <c r="V161" s="39"/>
      <c r="W161" s="39"/>
      <c r="X161" s="39"/>
    </row>
    <row r="162" spans="1:24" x14ac:dyDescent="0.3">
      <c r="A162" s="39"/>
      <c r="B162" s="39" t="s">
        <v>327</v>
      </c>
      <c r="C162" s="39"/>
      <c r="D162" s="39"/>
      <c r="E162" s="39"/>
      <c r="F162" s="44"/>
      <c r="G162" s="39" t="s">
        <v>328</v>
      </c>
      <c r="H162" s="39"/>
      <c r="I162" s="39"/>
      <c r="J162" s="44"/>
      <c r="K162" s="39" t="s">
        <v>329</v>
      </c>
      <c r="L162" s="39"/>
      <c r="M162" s="39"/>
      <c r="N162" s="39"/>
      <c r="O162" s="93"/>
      <c r="P162" s="94"/>
      <c r="Q162" s="93"/>
      <c r="R162" s="94"/>
      <c r="S162" s="44"/>
      <c r="T162" s="39"/>
      <c r="U162" s="39"/>
      <c r="V162" s="39"/>
      <c r="W162" s="39"/>
      <c r="X162" s="39"/>
    </row>
    <row r="163" spans="1:24" x14ac:dyDescent="0.3">
      <c r="A163" s="39"/>
      <c r="B163" s="39" t="s">
        <v>55</v>
      </c>
      <c r="C163" s="39"/>
      <c r="D163" s="39"/>
      <c r="E163" s="39"/>
      <c r="F163" s="93"/>
      <c r="G163" s="96"/>
      <c r="H163" s="96"/>
      <c r="I163" s="96"/>
      <c r="J163" s="96"/>
      <c r="K163" s="94"/>
      <c r="L163" s="39"/>
      <c r="M163" s="39"/>
      <c r="N163" s="39"/>
      <c r="O163" s="106" t="s">
        <v>384</v>
      </c>
      <c r="P163" s="107"/>
      <c r="Q163" s="107"/>
      <c r="R163" s="107"/>
      <c r="S163" s="108"/>
      <c r="T163" s="39"/>
      <c r="U163" s="39"/>
      <c r="V163" s="39"/>
      <c r="W163" s="39"/>
      <c r="X163" s="39"/>
    </row>
    <row r="164" spans="1:24" x14ac:dyDescent="0.3">
      <c r="A164" s="39"/>
      <c r="B164" s="39" t="s">
        <v>330</v>
      </c>
      <c r="C164" s="39"/>
      <c r="D164" s="39"/>
      <c r="E164" s="39"/>
      <c r="F164" s="93"/>
      <c r="G164" s="96"/>
      <c r="H164" s="96"/>
      <c r="I164" s="96"/>
      <c r="J164" s="96"/>
      <c r="K164" s="94"/>
      <c r="L164" s="39"/>
      <c r="M164" s="39"/>
      <c r="N164" s="39"/>
      <c r="O164" s="109"/>
      <c r="P164" s="110"/>
      <c r="Q164" s="110"/>
      <c r="R164" s="110"/>
      <c r="S164" s="111"/>
      <c r="T164" s="39"/>
      <c r="U164" s="39"/>
      <c r="V164" s="39"/>
      <c r="W164" s="39"/>
      <c r="X164" s="39"/>
    </row>
    <row r="165" spans="1:24" x14ac:dyDescent="0.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112"/>
      <c r="P165" s="113"/>
      <c r="Q165" s="113"/>
      <c r="R165" s="113"/>
      <c r="S165" s="114"/>
      <c r="T165" s="39"/>
      <c r="U165" s="39"/>
      <c r="V165" s="39"/>
      <c r="W165" s="39"/>
      <c r="X165" s="39"/>
    </row>
    <row r="166" spans="1:24" x14ac:dyDescent="0.3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</sheetData>
  <mergeCells count="62">
    <mergeCell ref="F163:K163"/>
    <mergeCell ref="F164:K164"/>
    <mergeCell ref="K3:R4"/>
    <mergeCell ref="K5:R5"/>
    <mergeCell ref="K6:R6"/>
    <mergeCell ref="N19:U19"/>
    <mergeCell ref="R47:U47"/>
    <mergeCell ref="T6:X6"/>
    <mergeCell ref="T3:X5"/>
    <mergeCell ref="R76:U76"/>
    <mergeCell ref="R85:U85"/>
    <mergeCell ref="R91:U91"/>
    <mergeCell ref="R106:U106"/>
    <mergeCell ref="R95:U95"/>
    <mergeCell ref="R86:U86"/>
    <mergeCell ref="R142:U142"/>
    <mergeCell ref="R69:U69"/>
    <mergeCell ref="R73:U73"/>
    <mergeCell ref="M63:P63"/>
    <mergeCell ref="R50:U50"/>
    <mergeCell ref="O163:S165"/>
    <mergeCell ref="R127:U127"/>
    <mergeCell ref="R124:U124"/>
    <mergeCell ref="R121:U121"/>
    <mergeCell ref="R120:U120"/>
    <mergeCell ref="R110:U110"/>
    <mergeCell ref="P102:U102"/>
    <mergeCell ref="P100:R100"/>
    <mergeCell ref="T100:U100"/>
    <mergeCell ref="R96:U96"/>
    <mergeCell ref="R66:U66"/>
    <mergeCell ref="R57:U57"/>
    <mergeCell ref="I8:K8"/>
    <mergeCell ref="N8:O8"/>
    <mergeCell ref="C18:E18"/>
    <mergeCell ref="F18:K18"/>
    <mergeCell ref="B9:C9"/>
    <mergeCell ref="B10:C10"/>
    <mergeCell ref="B11:F11"/>
    <mergeCell ref="C14:E14"/>
    <mergeCell ref="F14:K14"/>
    <mergeCell ref="C15:E15"/>
    <mergeCell ref="F15:K15"/>
    <mergeCell ref="C16:E16"/>
    <mergeCell ref="C17:E17"/>
    <mergeCell ref="F17:K17"/>
    <mergeCell ref="Q162:R162"/>
    <mergeCell ref="C19:E19"/>
    <mergeCell ref="F19:K19"/>
    <mergeCell ref="B101:C101"/>
    <mergeCell ref="B102:C102"/>
    <mergeCell ref="B157:C157"/>
    <mergeCell ref="O162:P162"/>
    <mergeCell ref="R23:U23"/>
    <mergeCell ref="R46:U46"/>
    <mergeCell ref="R56:U56"/>
    <mergeCell ref="R62:U62"/>
    <mergeCell ref="R63:U63"/>
    <mergeCell ref="R64:U64"/>
    <mergeCell ref="R65:U65"/>
    <mergeCell ref="R78:U78"/>
    <mergeCell ref="R77:U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9622-EEDD-404D-ADC2-2CADDCA2046E}">
  <dimension ref="B6:K72"/>
  <sheetViews>
    <sheetView topLeftCell="B25" zoomScale="140" zoomScaleNormal="140" workbookViewId="0">
      <selection activeCell="A10" sqref="A10:XFD10"/>
    </sheetView>
  </sheetViews>
  <sheetFormatPr defaultRowHeight="14.4" x14ac:dyDescent="0.3"/>
  <cols>
    <col min="1" max="1" width="5.33203125" customWidth="1"/>
    <col min="2" max="2" width="5" customWidth="1"/>
    <col min="3" max="3" width="18.77734375" customWidth="1"/>
    <col min="4" max="4" width="22.88671875" customWidth="1"/>
    <col min="5" max="5" width="20.77734375" customWidth="1"/>
    <col min="6" max="6" width="17" customWidth="1"/>
    <col min="7" max="7" width="26.21875" customWidth="1"/>
    <col min="8" max="8" width="21.5546875" customWidth="1"/>
    <col min="9" max="9" width="19.6640625" customWidth="1"/>
    <col min="10" max="10" width="15.88671875" customWidth="1"/>
    <col min="11" max="11" width="16.6640625" customWidth="1"/>
  </cols>
  <sheetData>
    <row r="6" spans="2:11" x14ac:dyDescent="0.3">
      <c r="B6" s="68" t="s">
        <v>0</v>
      </c>
      <c r="C6" s="68" t="s">
        <v>1</v>
      </c>
      <c r="D6" s="68"/>
      <c r="E6" s="68"/>
      <c r="F6" s="68"/>
      <c r="G6" s="68"/>
      <c r="H6" s="68"/>
      <c r="I6" s="68"/>
      <c r="J6" s="68"/>
      <c r="K6" s="68"/>
    </row>
    <row r="7" spans="2:11" x14ac:dyDescent="0.3">
      <c r="B7" s="55">
        <v>1</v>
      </c>
      <c r="C7" s="4" t="s">
        <v>2</v>
      </c>
      <c r="D7" s="4"/>
      <c r="E7" s="4"/>
      <c r="F7" s="4"/>
      <c r="G7" s="4"/>
      <c r="H7" s="4"/>
      <c r="I7" s="4"/>
      <c r="J7" s="4"/>
      <c r="K7" s="4"/>
    </row>
    <row r="8" spans="2:11" x14ac:dyDescent="0.3">
      <c r="B8" s="3" t="s">
        <v>3</v>
      </c>
      <c r="C8" s="3" t="s">
        <v>4</v>
      </c>
      <c r="D8" s="3" t="s">
        <v>5</v>
      </c>
      <c r="E8" s="132" t="s">
        <v>6</v>
      </c>
      <c r="F8" s="134"/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</row>
    <row r="9" spans="2:11" x14ac:dyDescent="0.3">
      <c r="B9" s="19" t="s">
        <v>438</v>
      </c>
      <c r="C9" s="1" t="s">
        <v>439</v>
      </c>
      <c r="D9" s="1"/>
      <c r="E9" s="138" t="s">
        <v>440</v>
      </c>
      <c r="F9" s="139"/>
      <c r="G9" s="1" t="s">
        <v>441</v>
      </c>
      <c r="H9" s="1" t="s">
        <v>442</v>
      </c>
      <c r="I9" s="1">
        <v>2025</v>
      </c>
      <c r="J9" s="20">
        <v>150000000</v>
      </c>
      <c r="K9" s="1"/>
    </row>
    <row r="10" spans="2:11" x14ac:dyDescent="0.3">
      <c r="B10" s="19" t="s">
        <v>443</v>
      </c>
      <c r="C10" s="1" t="s">
        <v>444</v>
      </c>
      <c r="D10" s="1"/>
      <c r="E10" s="138" t="s">
        <v>440</v>
      </c>
      <c r="F10" s="139"/>
      <c r="G10" s="1" t="s">
        <v>445</v>
      </c>
      <c r="H10" s="1" t="s">
        <v>442</v>
      </c>
      <c r="I10" s="1">
        <v>2024</v>
      </c>
      <c r="J10" s="20">
        <v>300000000</v>
      </c>
      <c r="K10" s="1"/>
    </row>
    <row r="11" spans="2:11" x14ac:dyDescent="0.3">
      <c r="B11" s="1"/>
      <c r="C11" s="1"/>
      <c r="D11" s="1"/>
      <c r="E11" s="138"/>
      <c r="F11" s="139"/>
      <c r="G11" s="1"/>
      <c r="H11" s="1"/>
      <c r="I11" s="1"/>
      <c r="J11" s="1"/>
      <c r="K11" s="1"/>
    </row>
    <row r="12" spans="2:11" x14ac:dyDescent="0.3">
      <c r="B12" s="1"/>
      <c r="C12" s="1"/>
      <c r="D12" s="1"/>
      <c r="E12" s="138"/>
      <c r="F12" s="139"/>
      <c r="G12" s="1"/>
      <c r="H12" s="1"/>
      <c r="I12" s="1"/>
      <c r="J12" s="1"/>
      <c r="K12" s="1"/>
    </row>
    <row r="13" spans="2:11" x14ac:dyDescent="0.3">
      <c r="B13" s="1"/>
      <c r="C13" s="1"/>
      <c r="D13" s="1"/>
      <c r="E13" s="138"/>
      <c r="F13" s="139"/>
      <c r="G13" s="1"/>
      <c r="H13" s="1"/>
      <c r="I13" s="1"/>
      <c r="J13" s="1"/>
      <c r="K13" s="1"/>
    </row>
    <row r="14" spans="2:11" x14ac:dyDescent="0.3">
      <c r="B14" s="1"/>
      <c r="C14" s="1"/>
      <c r="D14" s="1"/>
      <c r="E14" s="138"/>
      <c r="F14" s="139"/>
      <c r="G14" s="1"/>
      <c r="H14" s="1"/>
      <c r="I14" s="1"/>
      <c r="J14" s="1"/>
      <c r="K14" s="1"/>
    </row>
    <row r="15" spans="2:11" x14ac:dyDescent="0.3">
      <c r="B15" s="132" t="s">
        <v>385</v>
      </c>
      <c r="C15" s="133"/>
      <c r="D15" s="133"/>
      <c r="E15" s="133"/>
      <c r="F15" s="133"/>
      <c r="G15" s="133"/>
      <c r="H15" s="133"/>
      <c r="I15" s="134"/>
      <c r="J15" s="21">
        <f>SUM(J9:J10)</f>
        <v>450000000</v>
      </c>
      <c r="K15" s="11"/>
    </row>
    <row r="16" spans="2:11" x14ac:dyDescent="0.3">
      <c r="B16" s="55">
        <v>2</v>
      </c>
      <c r="C16" s="4" t="s">
        <v>12</v>
      </c>
      <c r="D16" s="4"/>
      <c r="E16" s="4"/>
      <c r="F16" s="4"/>
      <c r="G16" s="4"/>
      <c r="H16" s="4"/>
      <c r="I16" s="4"/>
      <c r="J16" s="4"/>
      <c r="K16" s="4"/>
    </row>
    <row r="17" spans="2:11" ht="28.8" x14ac:dyDescent="0.3">
      <c r="B17" s="58" t="s">
        <v>3</v>
      </c>
      <c r="C17" s="58" t="s">
        <v>4</v>
      </c>
      <c r="D17" s="59" t="s">
        <v>13</v>
      </c>
      <c r="E17" s="126" t="s">
        <v>14</v>
      </c>
      <c r="F17" s="135"/>
      <c r="G17" s="126" t="s">
        <v>17</v>
      </c>
      <c r="H17" s="127"/>
      <c r="I17" s="58" t="s">
        <v>16</v>
      </c>
      <c r="J17" s="59" t="s">
        <v>15</v>
      </c>
      <c r="K17" s="58" t="s">
        <v>11</v>
      </c>
    </row>
    <row r="18" spans="2:11" x14ac:dyDescent="0.3">
      <c r="B18" s="136"/>
      <c r="C18" s="136"/>
      <c r="D18" s="136"/>
      <c r="E18" s="57" t="s">
        <v>55</v>
      </c>
      <c r="F18" s="60"/>
      <c r="G18" s="128"/>
      <c r="H18" s="129"/>
      <c r="I18" s="136"/>
      <c r="J18" s="136"/>
      <c r="K18" s="136"/>
    </row>
    <row r="19" spans="2:11" x14ac:dyDescent="0.3">
      <c r="B19" s="137"/>
      <c r="C19" s="137"/>
      <c r="D19" s="137"/>
      <c r="E19" s="56" t="s">
        <v>24</v>
      </c>
      <c r="F19" s="61"/>
      <c r="G19" s="130"/>
      <c r="H19" s="131"/>
      <c r="I19" s="137"/>
      <c r="J19" s="137"/>
      <c r="K19" s="137"/>
    </row>
    <row r="20" spans="2:11" x14ac:dyDescent="0.3">
      <c r="B20" s="136"/>
      <c r="C20" s="136"/>
      <c r="D20" s="136"/>
      <c r="E20" s="57" t="s">
        <v>55</v>
      </c>
      <c r="F20" s="60"/>
      <c r="G20" s="128"/>
      <c r="H20" s="129"/>
      <c r="I20" s="136"/>
      <c r="J20" s="136"/>
      <c r="K20" s="136"/>
    </row>
    <row r="21" spans="2:11" x14ac:dyDescent="0.3">
      <c r="B21" s="137"/>
      <c r="C21" s="137"/>
      <c r="D21" s="137"/>
      <c r="E21" s="56" t="s">
        <v>24</v>
      </c>
      <c r="F21" s="61"/>
      <c r="G21" s="130"/>
      <c r="H21" s="131"/>
      <c r="I21" s="137"/>
      <c r="J21" s="137"/>
      <c r="K21" s="137"/>
    </row>
    <row r="22" spans="2:11" x14ac:dyDescent="0.3">
      <c r="B22" s="136"/>
      <c r="C22" s="136"/>
      <c r="D22" s="136"/>
      <c r="E22" s="57" t="s">
        <v>55</v>
      </c>
      <c r="F22" s="60"/>
      <c r="G22" s="128"/>
      <c r="H22" s="129"/>
      <c r="I22" s="136"/>
      <c r="J22" s="136"/>
      <c r="K22" s="136"/>
    </row>
    <row r="23" spans="2:11" x14ac:dyDescent="0.3">
      <c r="B23" s="137"/>
      <c r="C23" s="137"/>
      <c r="D23" s="137"/>
      <c r="E23" s="56" t="s">
        <v>24</v>
      </c>
      <c r="F23" s="61"/>
      <c r="G23" s="130"/>
      <c r="H23" s="131"/>
      <c r="I23" s="137"/>
      <c r="J23" s="137"/>
      <c r="K23" s="137"/>
    </row>
    <row r="24" spans="2:11" x14ac:dyDescent="0.3">
      <c r="B24" s="136"/>
      <c r="C24" s="136"/>
      <c r="D24" s="136"/>
      <c r="E24" s="57" t="s">
        <v>55</v>
      </c>
      <c r="F24" s="60"/>
      <c r="G24" s="128"/>
      <c r="H24" s="129"/>
      <c r="I24" s="136"/>
      <c r="J24" s="136"/>
      <c r="K24" s="136"/>
    </row>
    <row r="25" spans="2:11" x14ac:dyDescent="0.3">
      <c r="B25" s="137"/>
      <c r="C25" s="137"/>
      <c r="D25" s="137"/>
      <c r="E25" s="56" t="s">
        <v>24</v>
      </c>
      <c r="F25" s="61"/>
      <c r="G25" s="130"/>
      <c r="H25" s="131"/>
      <c r="I25" s="137"/>
      <c r="J25" s="137"/>
      <c r="K25" s="137"/>
    </row>
    <row r="26" spans="2:11" x14ac:dyDescent="0.3">
      <c r="B26" s="136"/>
      <c r="C26" s="136"/>
      <c r="D26" s="136"/>
      <c r="E26" s="57" t="s">
        <v>55</v>
      </c>
      <c r="F26" s="60"/>
      <c r="G26" s="128"/>
      <c r="H26" s="129"/>
      <c r="I26" s="136"/>
      <c r="J26" s="136"/>
      <c r="K26" s="136"/>
    </row>
    <row r="27" spans="2:11" x14ac:dyDescent="0.3">
      <c r="B27" s="137"/>
      <c r="C27" s="137"/>
      <c r="D27" s="137"/>
      <c r="E27" s="56" t="s">
        <v>24</v>
      </c>
      <c r="F27" s="61"/>
      <c r="G27" s="130"/>
      <c r="H27" s="131"/>
      <c r="I27" s="137"/>
      <c r="J27" s="137"/>
      <c r="K27" s="137"/>
    </row>
    <row r="28" spans="2:11" x14ac:dyDescent="0.3">
      <c r="B28" s="132" t="s">
        <v>386</v>
      </c>
      <c r="C28" s="133"/>
      <c r="D28" s="133"/>
      <c r="E28" s="133"/>
      <c r="F28" s="133"/>
      <c r="G28" s="133"/>
      <c r="H28" s="133"/>
      <c r="I28" s="134"/>
      <c r="J28" s="1"/>
      <c r="K28" s="11"/>
    </row>
    <row r="29" spans="2:11" x14ac:dyDescent="0.3">
      <c r="B29" s="55">
        <v>3</v>
      </c>
      <c r="C29" s="4" t="s">
        <v>18</v>
      </c>
      <c r="D29" s="4"/>
      <c r="E29" s="4"/>
      <c r="F29" s="4"/>
      <c r="G29" s="4"/>
      <c r="H29" s="4"/>
      <c r="I29" s="4"/>
      <c r="J29" s="4"/>
      <c r="K29" s="4"/>
    </row>
    <row r="30" spans="2:11" ht="28.8" customHeight="1" x14ac:dyDescent="0.3">
      <c r="B30" s="58" t="s">
        <v>3</v>
      </c>
      <c r="C30" s="58" t="s">
        <v>4</v>
      </c>
      <c r="D30" s="58" t="s">
        <v>8</v>
      </c>
      <c r="E30" s="140" t="s">
        <v>19</v>
      </c>
      <c r="F30" s="141"/>
      <c r="G30" s="58" t="s">
        <v>5</v>
      </c>
      <c r="H30" s="58" t="s">
        <v>20</v>
      </c>
      <c r="I30" s="58" t="s">
        <v>9</v>
      </c>
      <c r="J30" s="58" t="s">
        <v>21</v>
      </c>
      <c r="K30" s="58" t="s">
        <v>11</v>
      </c>
    </row>
    <row r="31" spans="2:11" x14ac:dyDescent="0.3">
      <c r="B31" s="136"/>
      <c r="C31" s="136"/>
      <c r="D31" s="136"/>
      <c r="E31" s="57" t="s">
        <v>55</v>
      </c>
      <c r="F31" s="60"/>
      <c r="G31" s="1"/>
      <c r="H31" s="1"/>
      <c r="I31" s="1"/>
      <c r="J31" s="1"/>
      <c r="K31" s="1"/>
    </row>
    <row r="32" spans="2:11" x14ac:dyDescent="0.3">
      <c r="B32" s="137"/>
      <c r="C32" s="137"/>
      <c r="D32" s="137"/>
      <c r="E32" s="56" t="s">
        <v>24</v>
      </c>
      <c r="F32" s="61"/>
      <c r="G32" s="1"/>
      <c r="H32" s="1"/>
      <c r="I32" s="1"/>
      <c r="J32" s="1"/>
      <c r="K32" s="1"/>
    </row>
    <row r="33" spans="2:11" x14ac:dyDescent="0.3">
      <c r="B33" s="136"/>
      <c r="C33" s="136"/>
      <c r="D33" s="136"/>
      <c r="E33" s="57" t="s">
        <v>55</v>
      </c>
      <c r="F33" s="60"/>
      <c r="G33" s="1"/>
      <c r="H33" s="1"/>
      <c r="I33" s="1"/>
      <c r="J33" s="1"/>
      <c r="K33" s="1"/>
    </row>
    <row r="34" spans="2:11" x14ac:dyDescent="0.3">
      <c r="B34" s="137"/>
      <c r="C34" s="137"/>
      <c r="D34" s="137"/>
      <c r="E34" s="56" t="s">
        <v>24</v>
      </c>
      <c r="F34" s="61"/>
      <c r="G34" s="1"/>
      <c r="H34" s="1"/>
      <c r="I34" s="1"/>
      <c r="J34" s="1"/>
      <c r="K34" s="1"/>
    </row>
    <row r="35" spans="2:11" x14ac:dyDescent="0.3">
      <c r="B35" s="136"/>
      <c r="C35" s="136"/>
      <c r="D35" s="136"/>
      <c r="E35" s="57" t="s">
        <v>55</v>
      </c>
      <c r="F35" s="60"/>
      <c r="G35" s="1"/>
      <c r="H35" s="1"/>
      <c r="I35" s="1"/>
      <c r="J35" s="1"/>
      <c r="K35" s="1"/>
    </row>
    <row r="36" spans="2:11" x14ac:dyDescent="0.3">
      <c r="B36" s="137"/>
      <c r="C36" s="137"/>
      <c r="D36" s="137"/>
      <c r="E36" s="56" t="s">
        <v>24</v>
      </c>
      <c r="F36" s="61"/>
      <c r="G36" s="1"/>
      <c r="H36" s="1"/>
      <c r="I36" s="1"/>
      <c r="J36" s="1"/>
      <c r="K36" s="1"/>
    </row>
    <row r="37" spans="2:11" x14ac:dyDescent="0.3">
      <c r="B37" s="136"/>
      <c r="C37" s="136"/>
      <c r="D37" s="136"/>
      <c r="E37" s="57" t="s">
        <v>55</v>
      </c>
      <c r="F37" s="60"/>
      <c r="G37" s="1"/>
      <c r="H37" s="1"/>
      <c r="I37" s="1"/>
      <c r="J37" s="1"/>
      <c r="K37" s="1"/>
    </row>
    <row r="38" spans="2:11" x14ac:dyDescent="0.3">
      <c r="B38" s="137"/>
      <c r="C38" s="137"/>
      <c r="D38" s="137"/>
      <c r="E38" s="56" t="s">
        <v>24</v>
      </c>
      <c r="F38" s="61"/>
      <c r="G38" s="1"/>
      <c r="H38" s="1"/>
      <c r="I38" s="1"/>
      <c r="J38" s="1"/>
      <c r="K38" s="1"/>
    </row>
    <row r="39" spans="2:11" x14ac:dyDescent="0.3">
      <c r="B39" s="136"/>
      <c r="C39" s="136"/>
      <c r="D39" s="136"/>
      <c r="E39" s="57" t="s">
        <v>55</v>
      </c>
      <c r="F39" s="60"/>
      <c r="G39" s="1"/>
      <c r="H39" s="1"/>
      <c r="I39" s="1"/>
      <c r="J39" s="1"/>
      <c r="K39" s="1"/>
    </row>
    <row r="40" spans="2:11" x14ac:dyDescent="0.3">
      <c r="B40" s="137"/>
      <c r="C40" s="137"/>
      <c r="D40" s="137"/>
      <c r="E40" s="56" t="s">
        <v>24</v>
      </c>
      <c r="F40" s="61"/>
      <c r="G40" s="1"/>
      <c r="H40" s="1"/>
      <c r="I40" s="1"/>
      <c r="J40" s="1"/>
      <c r="K40" s="1"/>
    </row>
    <row r="41" spans="2:11" x14ac:dyDescent="0.3">
      <c r="B41" s="136"/>
      <c r="C41" s="136"/>
      <c r="D41" s="136"/>
      <c r="E41" s="57" t="s">
        <v>55</v>
      </c>
      <c r="F41" s="60"/>
      <c r="G41" s="1"/>
      <c r="H41" s="1"/>
      <c r="I41" s="1"/>
      <c r="J41" s="1"/>
      <c r="K41" s="1"/>
    </row>
    <row r="42" spans="2:11" x14ac:dyDescent="0.3">
      <c r="B42" s="137"/>
      <c r="C42" s="137"/>
      <c r="D42" s="137"/>
      <c r="E42" s="56" t="s">
        <v>24</v>
      </c>
      <c r="F42" s="61"/>
      <c r="G42" s="1"/>
      <c r="H42" s="1"/>
      <c r="I42" s="1"/>
      <c r="J42" s="1"/>
      <c r="K42" s="1"/>
    </row>
    <row r="43" spans="2:11" x14ac:dyDescent="0.3">
      <c r="B43" s="136"/>
      <c r="C43" s="136"/>
      <c r="D43" s="136"/>
      <c r="E43" s="57" t="s">
        <v>55</v>
      </c>
      <c r="F43" s="60"/>
      <c r="G43" s="1"/>
      <c r="H43" s="1"/>
      <c r="I43" s="1"/>
      <c r="J43" s="1"/>
      <c r="K43" s="1"/>
    </row>
    <row r="44" spans="2:11" x14ac:dyDescent="0.3">
      <c r="B44" s="137"/>
      <c r="C44" s="137"/>
      <c r="D44" s="137"/>
      <c r="E44" s="56" t="s">
        <v>24</v>
      </c>
      <c r="F44" s="61"/>
      <c r="G44" s="1"/>
      <c r="H44" s="1"/>
      <c r="I44" s="1"/>
      <c r="J44" s="1"/>
      <c r="K44" s="1"/>
    </row>
    <row r="45" spans="2:11" x14ac:dyDescent="0.3">
      <c r="B45" s="132" t="s">
        <v>404</v>
      </c>
      <c r="C45" s="133"/>
      <c r="D45" s="133"/>
      <c r="E45" s="133"/>
      <c r="F45" s="133"/>
      <c r="G45" s="134"/>
      <c r="H45" s="1"/>
      <c r="I45" s="11"/>
      <c r="J45" s="1"/>
      <c r="K45" s="11"/>
    </row>
    <row r="46" spans="2:11" x14ac:dyDescent="0.3">
      <c r="B46" s="55">
        <v>4</v>
      </c>
      <c r="C46" s="4" t="s">
        <v>387</v>
      </c>
      <c r="D46" s="4"/>
      <c r="E46" s="4"/>
      <c r="F46" s="4"/>
      <c r="G46" s="4"/>
      <c r="H46" s="4"/>
      <c r="I46" s="4"/>
      <c r="J46" s="4"/>
      <c r="K46" s="4"/>
    </row>
    <row r="47" spans="2:11" ht="28.8" customHeight="1" x14ac:dyDescent="0.3">
      <c r="B47" s="58" t="s">
        <v>3</v>
      </c>
      <c r="C47" s="142" t="s">
        <v>4</v>
      </c>
      <c r="D47" s="143"/>
      <c r="E47" s="59" t="s">
        <v>388</v>
      </c>
      <c r="F47" s="140" t="s">
        <v>19</v>
      </c>
      <c r="G47" s="141"/>
      <c r="H47" s="58" t="s">
        <v>9</v>
      </c>
      <c r="I47" s="58" t="s">
        <v>20</v>
      </c>
      <c r="J47" s="58" t="s">
        <v>21</v>
      </c>
      <c r="K47" s="58" t="s">
        <v>11</v>
      </c>
    </row>
    <row r="48" spans="2:11" x14ac:dyDescent="0.3">
      <c r="B48" s="148" t="s">
        <v>434</v>
      </c>
      <c r="C48" s="151" t="s">
        <v>391</v>
      </c>
      <c r="D48" s="152" t="s">
        <v>435</v>
      </c>
      <c r="E48" s="152"/>
      <c r="F48" s="67" t="s">
        <v>414</v>
      </c>
      <c r="G48" s="65" t="s">
        <v>389</v>
      </c>
      <c r="H48" s="136">
        <v>2022</v>
      </c>
      <c r="I48" s="155">
        <v>450000000</v>
      </c>
      <c r="J48" s="136"/>
      <c r="K48" s="136"/>
    </row>
    <row r="49" spans="2:11" x14ac:dyDescent="0.3">
      <c r="B49" s="149"/>
      <c r="C49" s="144"/>
      <c r="D49" s="146"/>
      <c r="E49" s="146"/>
      <c r="F49" s="67"/>
      <c r="G49" s="66" t="s">
        <v>390</v>
      </c>
      <c r="H49" s="154"/>
      <c r="I49" s="156"/>
      <c r="J49" s="154"/>
      <c r="K49" s="154"/>
    </row>
    <row r="50" spans="2:11" x14ac:dyDescent="0.3">
      <c r="B50" s="149"/>
      <c r="C50" s="144" t="s">
        <v>392</v>
      </c>
      <c r="D50" s="146" t="s">
        <v>436</v>
      </c>
      <c r="E50" s="146"/>
      <c r="F50" s="62" t="s">
        <v>55</v>
      </c>
      <c r="G50" s="73" t="s">
        <v>415</v>
      </c>
      <c r="H50" s="154"/>
      <c r="I50" s="156"/>
      <c r="J50" s="154"/>
      <c r="K50" s="154"/>
    </row>
    <row r="51" spans="2:11" x14ac:dyDescent="0.3">
      <c r="B51" s="150"/>
      <c r="C51" s="145"/>
      <c r="D51" s="147"/>
      <c r="E51" s="147"/>
      <c r="F51" s="56" t="s">
        <v>24</v>
      </c>
      <c r="G51" s="64" t="s">
        <v>437</v>
      </c>
      <c r="H51" s="137"/>
      <c r="I51" s="157"/>
      <c r="J51" s="137"/>
      <c r="K51" s="137"/>
    </row>
    <row r="52" spans="2:11" x14ac:dyDescent="0.3">
      <c r="B52" s="153"/>
      <c r="C52" s="151" t="s">
        <v>391</v>
      </c>
      <c r="D52" s="152"/>
      <c r="E52" s="152"/>
      <c r="F52" s="67"/>
      <c r="G52" s="65" t="s">
        <v>389</v>
      </c>
      <c r="H52" s="136"/>
      <c r="I52" s="136"/>
      <c r="J52" s="136"/>
      <c r="K52" s="136"/>
    </row>
    <row r="53" spans="2:11" x14ac:dyDescent="0.3">
      <c r="B53" s="149"/>
      <c r="C53" s="144"/>
      <c r="D53" s="146"/>
      <c r="E53" s="146"/>
      <c r="F53" s="67"/>
      <c r="G53" s="66" t="s">
        <v>390</v>
      </c>
      <c r="H53" s="154"/>
      <c r="I53" s="154"/>
      <c r="J53" s="154"/>
      <c r="K53" s="154"/>
    </row>
    <row r="54" spans="2:11" x14ac:dyDescent="0.3">
      <c r="B54" s="149"/>
      <c r="C54" s="144" t="s">
        <v>392</v>
      </c>
      <c r="D54" s="146"/>
      <c r="E54" s="146"/>
      <c r="F54" s="62" t="s">
        <v>55</v>
      </c>
      <c r="G54" s="63"/>
      <c r="H54" s="154"/>
      <c r="I54" s="154"/>
      <c r="J54" s="154"/>
      <c r="K54" s="154"/>
    </row>
    <row r="55" spans="2:11" x14ac:dyDescent="0.3">
      <c r="B55" s="150"/>
      <c r="C55" s="145"/>
      <c r="D55" s="147"/>
      <c r="E55" s="147"/>
      <c r="F55" s="56" t="s">
        <v>24</v>
      </c>
      <c r="G55" s="64"/>
      <c r="H55" s="137"/>
      <c r="I55" s="137"/>
      <c r="J55" s="137"/>
      <c r="K55" s="137"/>
    </row>
    <row r="56" spans="2:11" x14ac:dyDescent="0.3">
      <c r="B56" s="153"/>
      <c r="C56" s="151" t="s">
        <v>391</v>
      </c>
      <c r="D56" s="152"/>
      <c r="E56" s="152"/>
      <c r="F56" s="67"/>
      <c r="G56" s="65" t="s">
        <v>389</v>
      </c>
      <c r="H56" s="136"/>
      <c r="I56" s="136"/>
      <c r="J56" s="136"/>
      <c r="K56" s="136"/>
    </row>
    <row r="57" spans="2:11" x14ac:dyDescent="0.3">
      <c r="B57" s="149"/>
      <c r="C57" s="144"/>
      <c r="D57" s="146"/>
      <c r="E57" s="146"/>
      <c r="F57" s="67"/>
      <c r="G57" s="66" t="s">
        <v>390</v>
      </c>
      <c r="H57" s="154"/>
      <c r="I57" s="154"/>
      <c r="J57" s="154"/>
      <c r="K57" s="154"/>
    </row>
    <row r="58" spans="2:11" x14ac:dyDescent="0.3">
      <c r="B58" s="149"/>
      <c r="C58" s="144" t="s">
        <v>392</v>
      </c>
      <c r="D58" s="146"/>
      <c r="E58" s="146"/>
      <c r="F58" s="62" t="s">
        <v>55</v>
      </c>
      <c r="G58" s="63"/>
      <c r="H58" s="154"/>
      <c r="I58" s="154"/>
      <c r="J58" s="154"/>
      <c r="K58" s="154"/>
    </row>
    <row r="59" spans="2:11" x14ac:dyDescent="0.3">
      <c r="B59" s="150"/>
      <c r="C59" s="145"/>
      <c r="D59" s="147"/>
      <c r="E59" s="147"/>
      <c r="F59" s="56" t="s">
        <v>24</v>
      </c>
      <c r="G59" s="64"/>
      <c r="H59" s="137"/>
      <c r="I59" s="137"/>
      <c r="J59" s="137"/>
      <c r="K59" s="137"/>
    </row>
    <row r="60" spans="2:11" x14ac:dyDescent="0.3">
      <c r="B60" s="153"/>
      <c r="C60" s="151" t="s">
        <v>391</v>
      </c>
      <c r="D60" s="152"/>
      <c r="E60" s="152"/>
      <c r="F60" s="67"/>
      <c r="G60" s="65" t="s">
        <v>389</v>
      </c>
      <c r="H60" s="136"/>
      <c r="I60" s="136"/>
      <c r="J60" s="136"/>
      <c r="K60" s="136"/>
    </row>
    <row r="61" spans="2:11" x14ac:dyDescent="0.3">
      <c r="B61" s="149"/>
      <c r="C61" s="144"/>
      <c r="D61" s="146"/>
      <c r="E61" s="146"/>
      <c r="F61" s="67"/>
      <c r="G61" s="66" t="s">
        <v>390</v>
      </c>
      <c r="H61" s="154"/>
      <c r="I61" s="154"/>
      <c r="J61" s="154"/>
      <c r="K61" s="154"/>
    </row>
    <row r="62" spans="2:11" x14ac:dyDescent="0.3">
      <c r="B62" s="149"/>
      <c r="C62" s="144" t="s">
        <v>392</v>
      </c>
      <c r="D62" s="146"/>
      <c r="E62" s="146"/>
      <c r="F62" s="62" t="s">
        <v>55</v>
      </c>
      <c r="G62" s="63"/>
      <c r="H62" s="154"/>
      <c r="I62" s="154"/>
      <c r="J62" s="154"/>
      <c r="K62" s="154"/>
    </row>
    <row r="63" spans="2:11" x14ac:dyDescent="0.3">
      <c r="B63" s="150"/>
      <c r="C63" s="145"/>
      <c r="D63" s="147"/>
      <c r="E63" s="147"/>
      <c r="F63" s="56" t="s">
        <v>24</v>
      </c>
      <c r="G63" s="64"/>
      <c r="H63" s="137"/>
      <c r="I63" s="137"/>
      <c r="J63" s="137"/>
      <c r="K63" s="137"/>
    </row>
    <row r="64" spans="2:11" x14ac:dyDescent="0.3">
      <c r="B64" s="153"/>
      <c r="C64" s="151" t="s">
        <v>391</v>
      </c>
      <c r="D64" s="152"/>
      <c r="E64" s="152"/>
      <c r="F64" s="67"/>
      <c r="G64" s="65" t="s">
        <v>389</v>
      </c>
      <c r="H64" s="136"/>
      <c r="I64" s="136"/>
      <c r="J64" s="136"/>
      <c r="K64" s="136"/>
    </row>
    <row r="65" spans="2:11" x14ac:dyDescent="0.3">
      <c r="B65" s="149"/>
      <c r="C65" s="144"/>
      <c r="D65" s="146"/>
      <c r="E65" s="146"/>
      <c r="F65" s="67"/>
      <c r="G65" s="66" t="s">
        <v>390</v>
      </c>
      <c r="H65" s="154"/>
      <c r="I65" s="154"/>
      <c r="J65" s="154"/>
      <c r="K65" s="154"/>
    </row>
    <row r="66" spans="2:11" x14ac:dyDescent="0.3">
      <c r="B66" s="149"/>
      <c r="C66" s="144" t="s">
        <v>392</v>
      </c>
      <c r="D66" s="146"/>
      <c r="E66" s="146"/>
      <c r="F66" s="62" t="s">
        <v>55</v>
      </c>
      <c r="G66" s="63"/>
      <c r="H66" s="154"/>
      <c r="I66" s="154"/>
      <c r="J66" s="154"/>
      <c r="K66" s="154"/>
    </row>
    <row r="67" spans="2:11" x14ac:dyDescent="0.3">
      <c r="B67" s="150"/>
      <c r="C67" s="145"/>
      <c r="D67" s="147"/>
      <c r="E67" s="147"/>
      <c r="F67" s="56" t="s">
        <v>24</v>
      </c>
      <c r="G67" s="64"/>
      <c r="H67" s="137"/>
      <c r="I67" s="137"/>
      <c r="J67" s="137"/>
      <c r="K67" s="137"/>
    </row>
    <row r="68" spans="2:11" x14ac:dyDescent="0.3">
      <c r="B68" s="153"/>
      <c r="C68" s="151" t="s">
        <v>391</v>
      </c>
      <c r="D68" s="152"/>
      <c r="E68" s="152"/>
      <c r="F68" s="67"/>
      <c r="G68" s="65" t="s">
        <v>389</v>
      </c>
      <c r="H68" s="136"/>
      <c r="I68" s="136"/>
      <c r="J68" s="136"/>
      <c r="K68" s="136"/>
    </row>
    <row r="69" spans="2:11" x14ac:dyDescent="0.3">
      <c r="B69" s="149"/>
      <c r="C69" s="144"/>
      <c r="D69" s="146"/>
      <c r="E69" s="146"/>
      <c r="F69" s="67"/>
      <c r="G69" s="66" t="s">
        <v>390</v>
      </c>
      <c r="H69" s="154"/>
      <c r="I69" s="154"/>
      <c r="J69" s="154"/>
      <c r="K69" s="154"/>
    </row>
    <row r="70" spans="2:11" x14ac:dyDescent="0.3">
      <c r="B70" s="149"/>
      <c r="C70" s="144" t="s">
        <v>392</v>
      </c>
      <c r="D70" s="146"/>
      <c r="E70" s="146"/>
      <c r="F70" s="62" t="s">
        <v>55</v>
      </c>
      <c r="G70" s="63"/>
      <c r="H70" s="154"/>
      <c r="I70" s="154"/>
      <c r="J70" s="154"/>
      <c r="K70" s="154"/>
    </row>
    <row r="71" spans="2:11" x14ac:dyDescent="0.3">
      <c r="B71" s="150"/>
      <c r="C71" s="145"/>
      <c r="D71" s="147"/>
      <c r="E71" s="147"/>
      <c r="F71" s="56" t="s">
        <v>24</v>
      </c>
      <c r="G71" s="64"/>
      <c r="H71" s="137"/>
      <c r="I71" s="137"/>
      <c r="J71" s="137"/>
      <c r="K71" s="137"/>
    </row>
    <row r="72" spans="2:11" x14ac:dyDescent="0.3">
      <c r="B72" s="132" t="s">
        <v>405</v>
      </c>
      <c r="C72" s="133"/>
      <c r="D72" s="133"/>
      <c r="E72" s="133"/>
      <c r="F72" s="133"/>
      <c r="G72" s="133"/>
      <c r="H72" s="134"/>
      <c r="I72" s="1"/>
      <c r="J72" s="1"/>
      <c r="K72" s="11"/>
    </row>
  </sheetData>
  <mergeCells count="132">
    <mergeCell ref="B72:H72"/>
    <mergeCell ref="I68:I71"/>
    <mergeCell ref="J68:J71"/>
    <mergeCell ref="K68:K71"/>
    <mergeCell ref="C70:C71"/>
    <mergeCell ref="D70:D71"/>
    <mergeCell ref="B68:B71"/>
    <mergeCell ref="C68:C69"/>
    <mergeCell ref="D68:D69"/>
    <mergeCell ref="E68:E71"/>
    <mergeCell ref="H68:H71"/>
    <mergeCell ref="I64:I67"/>
    <mergeCell ref="J64:J67"/>
    <mergeCell ref="K64:K67"/>
    <mergeCell ref="C66:C67"/>
    <mergeCell ref="D66:D67"/>
    <mergeCell ref="B64:B67"/>
    <mergeCell ref="C64:C65"/>
    <mergeCell ref="D64:D65"/>
    <mergeCell ref="E64:E67"/>
    <mergeCell ref="H64:H67"/>
    <mergeCell ref="E60:E63"/>
    <mergeCell ref="H60:H63"/>
    <mergeCell ref="I60:I63"/>
    <mergeCell ref="J60:J63"/>
    <mergeCell ref="K60:K63"/>
    <mergeCell ref="E56:E59"/>
    <mergeCell ref="H56:H59"/>
    <mergeCell ref="I56:I59"/>
    <mergeCell ref="J56:J59"/>
    <mergeCell ref="K56:K59"/>
    <mergeCell ref="H48:H51"/>
    <mergeCell ref="I48:I51"/>
    <mergeCell ref="J48:J51"/>
    <mergeCell ref="K48:K51"/>
    <mergeCell ref="B52:B55"/>
    <mergeCell ref="E52:E55"/>
    <mergeCell ref="H52:H55"/>
    <mergeCell ref="I52:I55"/>
    <mergeCell ref="J52:J55"/>
    <mergeCell ref="K52:K55"/>
    <mergeCell ref="E48:E51"/>
    <mergeCell ref="C62:C63"/>
    <mergeCell ref="D62:D63"/>
    <mergeCell ref="B48:B51"/>
    <mergeCell ref="C48:C49"/>
    <mergeCell ref="D48:D49"/>
    <mergeCell ref="B56:B59"/>
    <mergeCell ref="B60:B63"/>
    <mergeCell ref="C58:C59"/>
    <mergeCell ref="D58:D59"/>
    <mergeCell ref="C60:C61"/>
    <mergeCell ref="D60:D61"/>
    <mergeCell ref="C54:C55"/>
    <mergeCell ref="D54:D55"/>
    <mergeCell ref="C56:C57"/>
    <mergeCell ref="D56:D57"/>
    <mergeCell ref="C50:C51"/>
    <mergeCell ref="D50:D51"/>
    <mergeCell ref="C52:C53"/>
    <mergeCell ref="D52:D53"/>
    <mergeCell ref="C47:D47"/>
    <mergeCell ref="F47:G47"/>
    <mergeCell ref="K18:K19"/>
    <mergeCell ref="D18:D19"/>
    <mergeCell ref="C18:C19"/>
    <mergeCell ref="B18:B19"/>
    <mergeCell ref="B20:B21"/>
    <mergeCell ref="C20:C21"/>
    <mergeCell ref="D20:D21"/>
    <mergeCell ref="I20:I21"/>
    <mergeCell ref="J20:J21"/>
    <mergeCell ref="K20:K21"/>
    <mergeCell ref="I18:I19"/>
    <mergeCell ref="J18:J19"/>
    <mergeCell ref="K22:K23"/>
    <mergeCell ref="B24:B25"/>
    <mergeCell ref="C24:C25"/>
    <mergeCell ref="D24:D25"/>
    <mergeCell ref="I24:I25"/>
    <mergeCell ref="J24:J25"/>
    <mergeCell ref="K24:K25"/>
    <mergeCell ref="B22:B23"/>
    <mergeCell ref="C22:C23"/>
    <mergeCell ref="D22:D23"/>
    <mergeCell ref="I22:I23"/>
    <mergeCell ref="J22:J23"/>
    <mergeCell ref="J26:J27"/>
    <mergeCell ref="K26:K27"/>
    <mergeCell ref="B31:B32"/>
    <mergeCell ref="C31:C32"/>
    <mergeCell ref="D31:D32"/>
    <mergeCell ref="B28:I28"/>
    <mergeCell ref="B26:B27"/>
    <mergeCell ref="C26:C27"/>
    <mergeCell ref="D26:D27"/>
    <mergeCell ref="I26:I27"/>
    <mergeCell ref="B35:B36"/>
    <mergeCell ref="C35:C36"/>
    <mergeCell ref="D35:D36"/>
    <mergeCell ref="E8:F8"/>
    <mergeCell ref="E9:F9"/>
    <mergeCell ref="E10:F10"/>
    <mergeCell ref="E11:F11"/>
    <mergeCell ref="E12:F12"/>
    <mergeCell ref="E13:F13"/>
    <mergeCell ref="E14:F14"/>
    <mergeCell ref="E30:F30"/>
    <mergeCell ref="G17:H17"/>
    <mergeCell ref="G18:H19"/>
    <mergeCell ref="G20:H21"/>
    <mergeCell ref="G22:H23"/>
    <mergeCell ref="G24:H25"/>
    <mergeCell ref="G26:H27"/>
    <mergeCell ref="B15:I15"/>
    <mergeCell ref="E17:F17"/>
    <mergeCell ref="B45:G45"/>
    <mergeCell ref="B37:B38"/>
    <mergeCell ref="C37:C38"/>
    <mergeCell ref="D37:D38"/>
    <mergeCell ref="B39:B40"/>
    <mergeCell ref="C39:C40"/>
    <mergeCell ref="D39:D40"/>
    <mergeCell ref="B41:B42"/>
    <mergeCell ref="C41:C42"/>
    <mergeCell ref="D41:D42"/>
    <mergeCell ref="B43:B44"/>
    <mergeCell ref="C43:C44"/>
    <mergeCell ref="D43:D44"/>
    <mergeCell ref="B33:B34"/>
    <mergeCell ref="C33:C34"/>
    <mergeCell ref="D33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CE2D-82C9-492C-A3F6-ADD4BE05D947}">
  <dimension ref="B4:L64"/>
  <sheetViews>
    <sheetView topLeftCell="C1" zoomScale="120" zoomScaleNormal="120" workbookViewId="0">
      <selection activeCell="C43" sqref="C43:D44"/>
    </sheetView>
  </sheetViews>
  <sheetFormatPr defaultRowHeight="14.4" x14ac:dyDescent="0.3"/>
  <cols>
    <col min="2" max="2" width="5.5546875" bestFit="1" customWidth="1"/>
    <col min="3" max="3" width="17.88671875" customWidth="1"/>
    <col min="4" max="4" width="21.6640625" customWidth="1"/>
    <col min="5" max="5" width="14.33203125" bestFit="1" customWidth="1"/>
    <col min="6" max="6" width="9.77734375" bestFit="1" customWidth="1"/>
    <col min="7" max="7" width="21" bestFit="1" customWidth="1"/>
    <col min="8" max="9" width="17.88671875" bestFit="1" customWidth="1"/>
    <col min="10" max="11" width="19" bestFit="1" customWidth="1"/>
    <col min="12" max="12" width="12.33203125" bestFit="1" customWidth="1"/>
  </cols>
  <sheetData>
    <row r="4" spans="2:12" x14ac:dyDescent="0.3">
      <c r="B4" s="68" t="s">
        <v>0</v>
      </c>
      <c r="C4" s="68" t="s">
        <v>1</v>
      </c>
      <c r="D4" s="68"/>
      <c r="E4" s="68"/>
      <c r="F4" s="68"/>
      <c r="G4" s="68"/>
      <c r="H4" s="68"/>
      <c r="I4" s="68"/>
      <c r="J4" s="68"/>
      <c r="K4" s="68"/>
      <c r="L4" s="68"/>
    </row>
    <row r="5" spans="2:12" x14ac:dyDescent="0.3">
      <c r="B5" s="55">
        <v>5</v>
      </c>
      <c r="C5" s="4" t="s">
        <v>393</v>
      </c>
      <c r="D5" s="4"/>
      <c r="E5" s="4"/>
      <c r="F5" s="4"/>
      <c r="G5" s="4"/>
      <c r="H5" s="4"/>
      <c r="I5" s="4"/>
      <c r="J5" s="4"/>
      <c r="K5" s="4"/>
      <c r="L5" s="4"/>
    </row>
    <row r="6" spans="2:12" x14ac:dyDescent="0.3">
      <c r="B6" s="58" t="s">
        <v>3</v>
      </c>
      <c r="C6" s="58" t="s">
        <v>4</v>
      </c>
      <c r="D6" s="59" t="s">
        <v>8</v>
      </c>
      <c r="E6" s="126" t="s">
        <v>394</v>
      </c>
      <c r="F6" s="127"/>
      <c r="G6" s="59" t="s">
        <v>397</v>
      </c>
      <c r="H6" s="58" t="s">
        <v>398</v>
      </c>
      <c r="I6" s="58" t="s">
        <v>9</v>
      </c>
      <c r="J6" s="59" t="s">
        <v>20</v>
      </c>
      <c r="K6" s="58" t="s">
        <v>21</v>
      </c>
      <c r="L6" s="58" t="s">
        <v>11</v>
      </c>
    </row>
    <row r="7" spans="2:12" x14ac:dyDescent="0.3">
      <c r="B7" s="160" t="s">
        <v>430</v>
      </c>
      <c r="C7" s="136" t="s">
        <v>431</v>
      </c>
      <c r="D7" s="136" t="s">
        <v>432</v>
      </c>
      <c r="E7" s="57" t="s">
        <v>395</v>
      </c>
      <c r="F7" s="60"/>
      <c r="G7" s="136" t="s">
        <v>433</v>
      </c>
      <c r="H7" s="136"/>
      <c r="I7" s="136">
        <v>2018</v>
      </c>
      <c r="J7" s="155">
        <v>2000000000</v>
      </c>
      <c r="K7" s="155">
        <v>3000000000</v>
      </c>
      <c r="L7" s="136"/>
    </row>
    <row r="8" spans="2:12" x14ac:dyDescent="0.3">
      <c r="B8" s="137"/>
      <c r="C8" s="137"/>
      <c r="D8" s="137"/>
      <c r="E8" s="56" t="s">
        <v>396</v>
      </c>
      <c r="F8" s="61"/>
      <c r="G8" s="137"/>
      <c r="H8" s="137"/>
      <c r="I8" s="137"/>
      <c r="J8" s="157"/>
      <c r="K8" s="157"/>
      <c r="L8" s="137"/>
    </row>
    <row r="9" spans="2:12" x14ac:dyDescent="0.3">
      <c r="B9" s="136"/>
      <c r="C9" s="136"/>
      <c r="D9" s="136"/>
      <c r="E9" s="57" t="s">
        <v>395</v>
      </c>
      <c r="F9" s="60"/>
      <c r="G9" s="136"/>
      <c r="H9" s="136"/>
      <c r="I9" s="136"/>
      <c r="J9" s="136"/>
      <c r="K9" s="136"/>
      <c r="L9" s="136"/>
    </row>
    <row r="10" spans="2:12" x14ac:dyDescent="0.3">
      <c r="B10" s="137"/>
      <c r="C10" s="137"/>
      <c r="D10" s="137"/>
      <c r="E10" s="56" t="s">
        <v>396</v>
      </c>
      <c r="F10" s="61"/>
      <c r="G10" s="137"/>
      <c r="H10" s="137"/>
      <c r="I10" s="137"/>
      <c r="J10" s="137"/>
      <c r="K10" s="137"/>
      <c r="L10" s="137"/>
    </row>
    <row r="11" spans="2:12" x14ac:dyDescent="0.3">
      <c r="B11" s="136"/>
      <c r="C11" s="136"/>
      <c r="D11" s="136"/>
      <c r="E11" s="57" t="s">
        <v>395</v>
      </c>
      <c r="F11" s="60"/>
      <c r="G11" s="136"/>
      <c r="H11" s="136"/>
      <c r="I11" s="136"/>
      <c r="J11" s="136"/>
      <c r="K11" s="136"/>
      <c r="L11" s="136"/>
    </row>
    <row r="12" spans="2:12" x14ac:dyDescent="0.3">
      <c r="B12" s="137"/>
      <c r="C12" s="137"/>
      <c r="D12" s="137"/>
      <c r="E12" s="56" t="s">
        <v>396</v>
      </c>
      <c r="F12" s="61"/>
      <c r="G12" s="137"/>
      <c r="H12" s="137"/>
      <c r="I12" s="137"/>
      <c r="J12" s="137"/>
      <c r="K12" s="137"/>
      <c r="L12" s="137"/>
    </row>
    <row r="13" spans="2:12" x14ac:dyDescent="0.3">
      <c r="B13" s="136"/>
      <c r="C13" s="136"/>
      <c r="D13" s="136"/>
      <c r="E13" s="57" t="s">
        <v>395</v>
      </c>
      <c r="F13" s="60"/>
      <c r="G13" s="136"/>
      <c r="H13" s="136"/>
      <c r="I13" s="136"/>
      <c r="J13" s="136"/>
      <c r="K13" s="136"/>
      <c r="L13" s="136"/>
    </row>
    <row r="14" spans="2:12" x14ac:dyDescent="0.3">
      <c r="B14" s="137"/>
      <c r="C14" s="137"/>
      <c r="D14" s="137"/>
      <c r="E14" s="56" t="s">
        <v>396</v>
      </c>
      <c r="F14" s="61"/>
      <c r="G14" s="137"/>
      <c r="H14" s="137"/>
      <c r="I14" s="137"/>
      <c r="J14" s="137"/>
      <c r="K14" s="137"/>
      <c r="L14" s="137"/>
    </row>
    <row r="15" spans="2:12" x14ac:dyDescent="0.3">
      <c r="B15" s="136"/>
      <c r="C15" s="136"/>
      <c r="D15" s="136"/>
      <c r="E15" s="57" t="s">
        <v>395</v>
      </c>
      <c r="F15" s="60"/>
      <c r="G15" s="136"/>
      <c r="H15" s="136"/>
      <c r="I15" s="136"/>
      <c r="J15" s="136"/>
      <c r="K15" s="136"/>
      <c r="L15" s="136"/>
    </row>
    <row r="16" spans="2:12" x14ac:dyDescent="0.3">
      <c r="B16" s="137"/>
      <c r="C16" s="137"/>
      <c r="D16" s="137"/>
      <c r="E16" s="56" t="s">
        <v>396</v>
      </c>
      <c r="F16" s="61"/>
      <c r="G16" s="137"/>
      <c r="H16" s="137"/>
      <c r="I16" s="137"/>
      <c r="J16" s="137"/>
      <c r="K16" s="137"/>
      <c r="L16" s="137"/>
    </row>
    <row r="17" spans="2:12" x14ac:dyDescent="0.3">
      <c r="B17" s="132" t="s">
        <v>402</v>
      </c>
      <c r="C17" s="133"/>
      <c r="D17" s="133"/>
      <c r="E17" s="133"/>
      <c r="F17" s="133"/>
      <c r="G17" s="133"/>
      <c r="H17" s="133"/>
      <c r="I17" s="133"/>
      <c r="J17" s="134"/>
      <c r="K17" s="1"/>
      <c r="L17" s="11"/>
    </row>
    <row r="18" spans="2:12" x14ac:dyDescent="0.3">
      <c r="B18" s="55">
        <v>6</v>
      </c>
      <c r="C18" s="4" t="s">
        <v>399</v>
      </c>
      <c r="D18" s="4"/>
      <c r="E18" s="4"/>
      <c r="F18" s="4"/>
      <c r="G18" s="4"/>
      <c r="H18" s="4"/>
      <c r="I18" s="4"/>
      <c r="J18" s="4"/>
      <c r="K18" s="4"/>
      <c r="L18" s="4"/>
    </row>
    <row r="19" spans="2:12" ht="32.4" customHeight="1" x14ac:dyDescent="0.3">
      <c r="B19" s="58" t="s">
        <v>3</v>
      </c>
      <c r="C19" s="58" t="s">
        <v>4</v>
      </c>
      <c r="D19" s="59" t="s">
        <v>9</v>
      </c>
      <c r="E19" s="140" t="s">
        <v>400</v>
      </c>
      <c r="F19" s="159"/>
      <c r="G19" s="126" t="s">
        <v>401</v>
      </c>
      <c r="H19" s="135"/>
      <c r="I19" s="127"/>
      <c r="J19" s="58" t="s">
        <v>20</v>
      </c>
      <c r="K19" s="59" t="s">
        <v>21</v>
      </c>
      <c r="L19" s="58" t="s">
        <v>11</v>
      </c>
    </row>
    <row r="20" spans="2:12" x14ac:dyDescent="0.3">
      <c r="B20" s="19" t="s">
        <v>446</v>
      </c>
      <c r="C20" s="1" t="s">
        <v>447</v>
      </c>
      <c r="D20" s="1">
        <v>2019</v>
      </c>
      <c r="E20" s="138"/>
      <c r="F20" s="139"/>
      <c r="G20" s="138" t="s">
        <v>448</v>
      </c>
      <c r="H20" s="158"/>
      <c r="I20" s="139"/>
      <c r="J20" s="20">
        <v>75000000</v>
      </c>
      <c r="K20" s="1"/>
      <c r="L20" s="1"/>
    </row>
    <row r="21" spans="2:12" x14ac:dyDescent="0.3">
      <c r="B21" s="19" t="s">
        <v>449</v>
      </c>
      <c r="C21" s="1" t="s">
        <v>450</v>
      </c>
      <c r="D21" s="1">
        <v>2023</v>
      </c>
      <c r="E21" s="138"/>
      <c r="F21" s="139"/>
      <c r="G21" s="138" t="s">
        <v>451</v>
      </c>
      <c r="H21" s="158"/>
      <c r="I21" s="139"/>
      <c r="J21" s="20">
        <v>120000000</v>
      </c>
      <c r="K21" s="1"/>
      <c r="L21" s="1"/>
    </row>
    <row r="22" spans="2:12" x14ac:dyDescent="0.3">
      <c r="B22" s="1"/>
      <c r="C22" s="1"/>
      <c r="D22" s="1"/>
      <c r="E22" s="138"/>
      <c r="F22" s="139"/>
      <c r="G22" s="138"/>
      <c r="H22" s="158"/>
      <c r="I22" s="139"/>
      <c r="J22" s="1"/>
      <c r="K22" s="1"/>
      <c r="L22" s="1"/>
    </row>
    <row r="23" spans="2:12" x14ac:dyDescent="0.3">
      <c r="B23" s="1"/>
      <c r="C23" s="1"/>
      <c r="D23" s="1"/>
      <c r="E23" s="138"/>
      <c r="F23" s="139"/>
      <c r="G23" s="138"/>
      <c r="H23" s="158"/>
      <c r="I23" s="139"/>
      <c r="J23" s="1"/>
      <c r="K23" s="1"/>
      <c r="L23" s="1"/>
    </row>
    <row r="24" spans="2:12" x14ac:dyDescent="0.3">
      <c r="B24" s="1"/>
      <c r="C24" s="1"/>
      <c r="D24" s="1"/>
      <c r="E24" s="138"/>
      <c r="F24" s="139"/>
      <c r="G24" s="138"/>
      <c r="H24" s="158"/>
      <c r="I24" s="139"/>
      <c r="J24" s="1"/>
      <c r="K24" s="1"/>
      <c r="L24" s="1"/>
    </row>
    <row r="25" spans="2:12" x14ac:dyDescent="0.3">
      <c r="B25" s="1"/>
      <c r="C25" s="1"/>
      <c r="D25" s="1"/>
      <c r="E25" s="138"/>
      <c r="F25" s="139"/>
      <c r="G25" s="138"/>
      <c r="H25" s="158"/>
      <c r="I25" s="139"/>
      <c r="J25" s="1"/>
      <c r="K25" s="1"/>
      <c r="L25" s="1"/>
    </row>
    <row r="26" spans="2:12" x14ac:dyDescent="0.3">
      <c r="B26" s="1"/>
      <c r="C26" s="1"/>
      <c r="D26" s="1"/>
      <c r="E26" s="138"/>
      <c r="F26" s="139"/>
      <c r="G26" s="138"/>
      <c r="H26" s="158"/>
      <c r="I26" s="139"/>
      <c r="J26" s="1"/>
      <c r="K26" s="1"/>
      <c r="L26" s="1"/>
    </row>
    <row r="27" spans="2:12" x14ac:dyDescent="0.3">
      <c r="B27" s="1"/>
      <c r="C27" s="1"/>
      <c r="D27" s="1"/>
      <c r="E27" s="138"/>
      <c r="F27" s="139"/>
      <c r="G27" s="138"/>
      <c r="H27" s="158"/>
      <c r="I27" s="139"/>
      <c r="J27" s="1"/>
      <c r="K27" s="1"/>
      <c r="L27" s="1"/>
    </row>
    <row r="28" spans="2:12" x14ac:dyDescent="0.3">
      <c r="B28" s="1"/>
      <c r="C28" s="1"/>
      <c r="D28" s="1"/>
      <c r="E28" s="138"/>
      <c r="F28" s="139"/>
      <c r="G28" s="138"/>
      <c r="H28" s="158"/>
      <c r="I28" s="139"/>
      <c r="J28" s="1"/>
      <c r="K28" s="1"/>
      <c r="L28" s="1"/>
    </row>
    <row r="29" spans="2:12" x14ac:dyDescent="0.3">
      <c r="B29" s="1"/>
      <c r="C29" s="1"/>
      <c r="D29" s="1"/>
      <c r="E29" s="138"/>
      <c r="F29" s="139"/>
      <c r="G29" s="138"/>
      <c r="H29" s="158"/>
      <c r="I29" s="139"/>
      <c r="J29" s="1"/>
      <c r="K29" s="1"/>
      <c r="L29" s="1"/>
    </row>
    <row r="30" spans="2:12" x14ac:dyDescent="0.3">
      <c r="B30" s="132" t="s">
        <v>403</v>
      </c>
      <c r="C30" s="133"/>
      <c r="D30" s="133"/>
      <c r="E30" s="133"/>
      <c r="F30" s="133"/>
      <c r="G30" s="133"/>
      <c r="H30" s="133"/>
      <c r="I30" s="134"/>
      <c r="J30" s="1"/>
      <c r="K30" s="1"/>
      <c r="L30" s="11"/>
    </row>
    <row r="31" spans="2:12" x14ac:dyDescent="0.3">
      <c r="B31" s="55">
        <v>7</v>
      </c>
      <c r="C31" s="4" t="s">
        <v>406</v>
      </c>
      <c r="D31" s="4"/>
      <c r="E31" s="4"/>
      <c r="F31" s="4"/>
      <c r="G31" s="4"/>
      <c r="H31" s="4"/>
      <c r="I31" s="4"/>
      <c r="J31" s="4"/>
      <c r="K31" s="4"/>
      <c r="L31" s="4"/>
    </row>
    <row r="32" spans="2:12" ht="14.4" customHeight="1" x14ac:dyDescent="0.3">
      <c r="B32" s="126" t="s">
        <v>4</v>
      </c>
      <c r="C32" s="135"/>
      <c r="D32" s="127"/>
      <c r="E32" s="140" t="s">
        <v>20</v>
      </c>
      <c r="F32" s="159"/>
      <c r="G32" s="159"/>
      <c r="H32" s="159"/>
      <c r="I32" s="141"/>
      <c r="J32" s="126" t="s">
        <v>21</v>
      </c>
      <c r="K32" s="135"/>
      <c r="L32" s="127"/>
    </row>
    <row r="33" spans="2:12" x14ac:dyDescent="0.3">
      <c r="B33" s="138"/>
      <c r="C33" s="158"/>
      <c r="D33" s="139"/>
      <c r="E33" s="138"/>
      <c r="F33" s="158"/>
      <c r="G33" s="158"/>
      <c r="H33" s="158"/>
      <c r="I33" s="139"/>
      <c r="J33" s="138"/>
      <c r="K33" s="158"/>
      <c r="L33" s="139"/>
    </row>
    <row r="34" spans="2:12" x14ac:dyDescent="0.3">
      <c r="B34" s="132" t="s">
        <v>407</v>
      </c>
      <c r="C34" s="133"/>
      <c r="D34" s="134"/>
      <c r="E34" s="138"/>
      <c r="F34" s="158"/>
      <c r="G34" s="158"/>
      <c r="H34" s="158"/>
      <c r="I34" s="139"/>
      <c r="J34" s="138"/>
      <c r="K34" s="158"/>
      <c r="L34" s="139"/>
    </row>
    <row r="35" spans="2:12" x14ac:dyDescent="0.3">
      <c r="B35" s="153" t="s">
        <v>408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4"/>
    </row>
    <row r="36" spans="2:12" x14ac:dyDescent="0.3">
      <c r="B36" s="150"/>
      <c r="C36" s="165"/>
      <c r="D36" s="165"/>
      <c r="E36" s="165"/>
      <c r="F36" s="165"/>
      <c r="G36" s="165"/>
      <c r="H36" s="165"/>
      <c r="I36" s="165"/>
      <c r="J36" s="165"/>
      <c r="K36" s="165"/>
      <c r="L36" s="166"/>
    </row>
    <row r="37" spans="2:12" x14ac:dyDescent="0.3">
      <c r="B37" s="68" t="s">
        <v>52</v>
      </c>
      <c r="C37" s="68" t="s">
        <v>409</v>
      </c>
      <c r="D37" s="68"/>
      <c r="E37" s="68"/>
      <c r="F37" s="68"/>
      <c r="G37" s="68"/>
      <c r="H37" s="68"/>
      <c r="I37" s="68"/>
      <c r="J37" s="68"/>
      <c r="K37" s="68"/>
      <c r="L37" s="68"/>
    </row>
    <row r="38" spans="2:12" ht="31.8" customHeight="1" x14ac:dyDescent="0.3">
      <c r="B38" s="58" t="s">
        <v>3</v>
      </c>
      <c r="C38" s="126" t="s">
        <v>4</v>
      </c>
      <c r="D38" s="127"/>
      <c r="E38" s="140" t="s">
        <v>410</v>
      </c>
      <c r="F38" s="159"/>
      <c r="G38" s="141"/>
      <c r="H38" s="126" t="s">
        <v>411</v>
      </c>
      <c r="I38" s="127"/>
      <c r="J38" s="58" t="s">
        <v>412</v>
      </c>
      <c r="K38" s="58" t="s">
        <v>10</v>
      </c>
      <c r="L38" s="58" t="s">
        <v>11</v>
      </c>
    </row>
    <row r="39" spans="2:12" x14ac:dyDescent="0.3">
      <c r="B39" s="160" t="s">
        <v>452</v>
      </c>
      <c r="C39" s="128" t="s">
        <v>453</v>
      </c>
      <c r="D39" s="129"/>
      <c r="E39" s="57" t="s">
        <v>55</v>
      </c>
      <c r="F39" s="161"/>
      <c r="G39" s="161"/>
      <c r="H39" s="128" t="s">
        <v>442</v>
      </c>
      <c r="I39" s="129"/>
      <c r="J39" s="136">
        <v>2018</v>
      </c>
      <c r="K39" s="155">
        <v>1200000000</v>
      </c>
      <c r="L39" s="136" t="s">
        <v>455</v>
      </c>
    </row>
    <row r="40" spans="2:12" x14ac:dyDescent="0.3">
      <c r="B40" s="137"/>
      <c r="C40" s="130"/>
      <c r="D40" s="131"/>
      <c r="E40" s="56" t="s">
        <v>24</v>
      </c>
      <c r="F40" s="162" t="s">
        <v>454</v>
      </c>
      <c r="G40" s="162"/>
      <c r="H40" s="130"/>
      <c r="I40" s="131"/>
      <c r="J40" s="137"/>
      <c r="K40" s="157"/>
      <c r="L40" s="137"/>
    </row>
    <row r="41" spans="2:12" x14ac:dyDescent="0.3">
      <c r="B41" s="160" t="s">
        <v>452</v>
      </c>
      <c r="C41" s="128" t="s">
        <v>453</v>
      </c>
      <c r="D41" s="129"/>
      <c r="E41" s="57" t="s">
        <v>55</v>
      </c>
      <c r="F41" s="161"/>
      <c r="G41" s="161"/>
      <c r="H41" s="128" t="s">
        <v>442</v>
      </c>
      <c r="I41" s="129"/>
      <c r="J41" s="136">
        <v>2022</v>
      </c>
      <c r="K41" s="155">
        <v>150000000</v>
      </c>
      <c r="L41" s="136" t="s">
        <v>456</v>
      </c>
    </row>
    <row r="42" spans="2:12" x14ac:dyDescent="0.3">
      <c r="B42" s="137"/>
      <c r="C42" s="130"/>
      <c r="D42" s="131"/>
      <c r="E42" s="56" t="s">
        <v>24</v>
      </c>
      <c r="F42" s="162" t="s">
        <v>441</v>
      </c>
      <c r="G42" s="162"/>
      <c r="H42" s="130"/>
      <c r="I42" s="131"/>
      <c r="J42" s="137"/>
      <c r="K42" s="157"/>
      <c r="L42" s="137"/>
    </row>
    <row r="43" spans="2:12" x14ac:dyDescent="0.3">
      <c r="B43" s="160" t="s">
        <v>457</v>
      </c>
      <c r="C43" s="128" t="s">
        <v>458</v>
      </c>
      <c r="D43" s="129"/>
      <c r="E43" s="57" t="s">
        <v>55</v>
      </c>
      <c r="F43" s="161"/>
      <c r="G43" s="161"/>
      <c r="H43" s="128" t="s">
        <v>442</v>
      </c>
      <c r="I43" s="129"/>
      <c r="J43" s="136">
        <v>2025</v>
      </c>
      <c r="K43" s="155">
        <v>10000000</v>
      </c>
      <c r="L43" s="136"/>
    </row>
    <row r="44" spans="2:12" x14ac:dyDescent="0.3">
      <c r="B44" s="137"/>
      <c r="C44" s="130"/>
      <c r="D44" s="131"/>
      <c r="E44" s="56" t="s">
        <v>24</v>
      </c>
      <c r="F44" s="162" t="s">
        <v>459</v>
      </c>
      <c r="G44" s="162"/>
      <c r="H44" s="130"/>
      <c r="I44" s="131"/>
      <c r="J44" s="137"/>
      <c r="K44" s="157"/>
      <c r="L44" s="137"/>
    </row>
    <row r="45" spans="2:12" x14ac:dyDescent="0.3">
      <c r="B45" s="136"/>
      <c r="C45" s="128"/>
      <c r="D45" s="129"/>
      <c r="E45" s="57" t="s">
        <v>55</v>
      </c>
      <c r="F45" s="161"/>
      <c r="G45" s="161"/>
      <c r="H45" s="128" t="s">
        <v>442</v>
      </c>
      <c r="I45" s="129"/>
      <c r="J45" s="136"/>
      <c r="K45" s="136"/>
      <c r="L45" s="136"/>
    </row>
    <row r="46" spans="2:12" x14ac:dyDescent="0.3">
      <c r="B46" s="137"/>
      <c r="C46" s="130"/>
      <c r="D46" s="131"/>
      <c r="E46" s="56" t="s">
        <v>24</v>
      </c>
      <c r="F46" s="162"/>
      <c r="G46" s="162"/>
      <c r="H46" s="130"/>
      <c r="I46" s="131"/>
      <c r="J46" s="137"/>
      <c r="K46" s="137"/>
      <c r="L46" s="137"/>
    </row>
    <row r="47" spans="2:12" x14ac:dyDescent="0.3">
      <c r="B47" s="136"/>
      <c r="C47" s="128"/>
      <c r="D47" s="129"/>
      <c r="E47" s="57" t="s">
        <v>55</v>
      </c>
      <c r="F47" s="161"/>
      <c r="G47" s="161"/>
      <c r="H47" s="128" t="s">
        <v>442</v>
      </c>
      <c r="I47" s="129"/>
      <c r="J47" s="136"/>
      <c r="K47" s="136"/>
      <c r="L47" s="136"/>
    </row>
    <row r="48" spans="2:12" ht="16.2" customHeight="1" x14ac:dyDescent="0.3">
      <c r="B48" s="137"/>
      <c r="C48" s="130"/>
      <c r="D48" s="131"/>
      <c r="E48" s="56" t="s">
        <v>24</v>
      </c>
      <c r="F48" s="162"/>
      <c r="G48" s="162"/>
      <c r="H48" s="130"/>
      <c r="I48" s="131"/>
      <c r="J48" s="137"/>
      <c r="K48" s="137"/>
      <c r="L48" s="137"/>
    </row>
    <row r="49" spans="2:12" x14ac:dyDescent="0.3">
      <c r="B49" s="136"/>
      <c r="C49" s="128"/>
      <c r="D49" s="129"/>
      <c r="E49" s="57" t="s">
        <v>55</v>
      </c>
      <c r="F49" s="161"/>
      <c r="G49" s="161"/>
      <c r="H49" s="128" t="s">
        <v>442</v>
      </c>
      <c r="I49" s="129"/>
      <c r="J49" s="136"/>
      <c r="K49" s="136"/>
      <c r="L49" s="136"/>
    </row>
    <row r="50" spans="2:12" x14ac:dyDescent="0.3">
      <c r="B50" s="137"/>
      <c r="C50" s="130"/>
      <c r="D50" s="131"/>
      <c r="E50" s="56" t="s">
        <v>24</v>
      </c>
      <c r="F50" s="162"/>
      <c r="G50" s="162"/>
      <c r="H50" s="130"/>
      <c r="I50" s="131"/>
      <c r="J50" s="137"/>
      <c r="K50" s="137"/>
      <c r="L50" s="137"/>
    </row>
    <row r="51" spans="2:12" x14ac:dyDescent="0.3">
      <c r="B51" s="136"/>
      <c r="C51" s="128"/>
      <c r="D51" s="129"/>
      <c r="E51" s="57" t="s">
        <v>55</v>
      </c>
      <c r="F51" s="161"/>
      <c r="G51" s="161"/>
      <c r="H51" s="128" t="s">
        <v>442</v>
      </c>
      <c r="I51" s="129"/>
      <c r="J51" s="136"/>
      <c r="K51" s="136"/>
      <c r="L51" s="136"/>
    </row>
    <row r="52" spans="2:12" ht="16.2" customHeight="1" x14ac:dyDescent="0.3">
      <c r="B52" s="137"/>
      <c r="C52" s="130"/>
      <c r="D52" s="131"/>
      <c r="E52" s="56" t="s">
        <v>24</v>
      </c>
      <c r="F52" s="162"/>
      <c r="G52" s="162"/>
      <c r="H52" s="130"/>
      <c r="I52" s="131"/>
      <c r="J52" s="137"/>
      <c r="K52" s="137"/>
      <c r="L52" s="137"/>
    </row>
    <row r="53" spans="2:12" x14ac:dyDescent="0.3">
      <c r="B53" s="136"/>
      <c r="C53" s="128"/>
      <c r="D53" s="129"/>
      <c r="E53" s="57" t="s">
        <v>55</v>
      </c>
      <c r="F53" s="161"/>
      <c r="G53" s="161"/>
      <c r="H53" s="128" t="s">
        <v>442</v>
      </c>
      <c r="I53" s="129"/>
      <c r="J53" s="136"/>
      <c r="K53" s="136"/>
      <c r="L53" s="136"/>
    </row>
    <row r="54" spans="2:12" x14ac:dyDescent="0.3">
      <c r="B54" s="137"/>
      <c r="C54" s="130"/>
      <c r="D54" s="131"/>
      <c r="E54" s="56" t="s">
        <v>24</v>
      </c>
      <c r="F54" s="162"/>
      <c r="G54" s="162"/>
      <c r="H54" s="130"/>
      <c r="I54" s="131"/>
      <c r="J54" s="137"/>
      <c r="K54" s="137"/>
      <c r="L54" s="137"/>
    </row>
    <row r="55" spans="2:12" x14ac:dyDescent="0.3">
      <c r="B55" s="136"/>
      <c r="C55" s="128"/>
      <c r="D55" s="129"/>
      <c r="E55" s="57" t="s">
        <v>55</v>
      </c>
      <c r="F55" s="161"/>
      <c r="G55" s="161"/>
      <c r="H55" s="128" t="s">
        <v>442</v>
      </c>
      <c r="I55" s="129"/>
      <c r="J55" s="136"/>
      <c r="K55" s="136"/>
      <c r="L55" s="136"/>
    </row>
    <row r="56" spans="2:12" ht="16.2" customHeight="1" x14ac:dyDescent="0.3">
      <c r="B56" s="137"/>
      <c r="C56" s="130"/>
      <c r="D56" s="131"/>
      <c r="E56" s="56" t="s">
        <v>24</v>
      </c>
      <c r="F56" s="162"/>
      <c r="G56" s="162"/>
      <c r="H56" s="130"/>
      <c r="I56" s="131"/>
      <c r="J56" s="137"/>
      <c r="K56" s="137"/>
      <c r="L56" s="137"/>
    </row>
    <row r="57" spans="2:12" x14ac:dyDescent="0.3">
      <c r="B57" s="136"/>
      <c r="C57" s="128"/>
      <c r="D57" s="129"/>
      <c r="E57" s="57" t="s">
        <v>55</v>
      </c>
      <c r="F57" s="161"/>
      <c r="G57" s="161"/>
      <c r="H57" s="128" t="s">
        <v>442</v>
      </c>
      <c r="I57" s="129"/>
      <c r="J57" s="136"/>
      <c r="K57" s="136"/>
      <c r="L57" s="136"/>
    </row>
    <row r="58" spans="2:12" x14ac:dyDescent="0.3">
      <c r="B58" s="137"/>
      <c r="C58" s="130"/>
      <c r="D58" s="131"/>
      <c r="E58" s="56" t="s">
        <v>24</v>
      </c>
      <c r="F58" s="162"/>
      <c r="G58" s="162"/>
      <c r="H58" s="130"/>
      <c r="I58" s="131"/>
      <c r="J58" s="137"/>
      <c r="K58" s="137"/>
      <c r="L58" s="137"/>
    </row>
    <row r="59" spans="2:12" x14ac:dyDescent="0.3">
      <c r="B59" s="136"/>
      <c r="C59" s="128"/>
      <c r="D59" s="129"/>
      <c r="E59" s="57" t="s">
        <v>55</v>
      </c>
      <c r="F59" s="161"/>
      <c r="G59" s="161"/>
      <c r="H59" s="128" t="s">
        <v>442</v>
      </c>
      <c r="I59" s="129"/>
      <c r="J59" s="136"/>
      <c r="K59" s="136"/>
      <c r="L59" s="136"/>
    </row>
    <row r="60" spans="2:12" ht="16.2" customHeight="1" x14ac:dyDescent="0.3">
      <c r="B60" s="137"/>
      <c r="C60" s="130"/>
      <c r="D60" s="131"/>
      <c r="E60" s="56" t="s">
        <v>24</v>
      </c>
      <c r="F60" s="162"/>
      <c r="G60" s="162"/>
      <c r="H60" s="130"/>
      <c r="I60" s="131"/>
      <c r="J60" s="137"/>
      <c r="K60" s="137"/>
      <c r="L60" s="137"/>
    </row>
    <row r="61" spans="2:12" x14ac:dyDescent="0.3">
      <c r="B61" s="136"/>
      <c r="C61" s="128"/>
      <c r="D61" s="129"/>
      <c r="E61" s="57" t="s">
        <v>55</v>
      </c>
      <c r="F61" s="161"/>
      <c r="G61" s="161"/>
      <c r="H61" s="128" t="s">
        <v>442</v>
      </c>
      <c r="I61" s="129"/>
      <c r="J61" s="136"/>
      <c r="K61" s="136"/>
      <c r="L61" s="136"/>
    </row>
    <row r="62" spans="2:12" x14ac:dyDescent="0.3">
      <c r="B62" s="137"/>
      <c r="C62" s="130"/>
      <c r="D62" s="131"/>
      <c r="E62" s="56" t="s">
        <v>24</v>
      </c>
      <c r="F62" s="162"/>
      <c r="G62" s="162"/>
      <c r="H62" s="130"/>
      <c r="I62" s="131"/>
      <c r="J62" s="137"/>
      <c r="K62" s="137"/>
      <c r="L62" s="137"/>
    </row>
    <row r="63" spans="2:12" x14ac:dyDescent="0.3">
      <c r="B63" s="167" t="s">
        <v>56</v>
      </c>
      <c r="C63" s="167"/>
      <c r="D63" s="167"/>
      <c r="E63" s="167"/>
      <c r="F63" s="167"/>
      <c r="G63" s="167"/>
      <c r="H63" s="167"/>
      <c r="I63" s="167"/>
      <c r="J63" s="167"/>
      <c r="K63" s="21">
        <f>SUM(K39:K44)</f>
        <v>1360000000</v>
      </c>
      <c r="L63" s="11"/>
    </row>
    <row r="64" spans="2:12" x14ac:dyDescent="0.3">
      <c r="B64" s="161" t="s">
        <v>413</v>
      </c>
      <c r="C64" s="161"/>
      <c r="D64" s="161"/>
      <c r="E64" s="161"/>
      <c r="F64" s="161"/>
      <c r="G64" s="161"/>
      <c r="H64" s="161"/>
      <c r="I64" s="161"/>
      <c r="J64" s="161"/>
      <c r="K64" s="161"/>
      <c r="L64" s="161"/>
    </row>
  </sheetData>
  <mergeCells count="181">
    <mergeCell ref="L61:L62"/>
    <mergeCell ref="F62:G62"/>
    <mergeCell ref="B63:J63"/>
    <mergeCell ref="B64:L64"/>
    <mergeCell ref="B61:B62"/>
    <mergeCell ref="C61:D62"/>
    <mergeCell ref="F61:G61"/>
    <mergeCell ref="J61:J62"/>
    <mergeCell ref="K61:K62"/>
    <mergeCell ref="H61:I62"/>
    <mergeCell ref="L57:L58"/>
    <mergeCell ref="F58:G58"/>
    <mergeCell ref="B59:B60"/>
    <mergeCell ref="C59:D60"/>
    <mergeCell ref="F59:G59"/>
    <mergeCell ref="J59:J60"/>
    <mergeCell ref="K59:K60"/>
    <mergeCell ref="L59:L60"/>
    <mergeCell ref="F60:G60"/>
    <mergeCell ref="B57:B58"/>
    <mergeCell ref="C57:D58"/>
    <mergeCell ref="F57:G57"/>
    <mergeCell ref="J57:J58"/>
    <mergeCell ref="K57:K58"/>
    <mergeCell ref="H57:I58"/>
    <mergeCell ref="H59:I60"/>
    <mergeCell ref="L53:L54"/>
    <mergeCell ref="F54:G54"/>
    <mergeCell ref="B55:B56"/>
    <mergeCell ref="C55:D56"/>
    <mergeCell ref="F55:G55"/>
    <mergeCell ref="J55:J56"/>
    <mergeCell ref="K55:K56"/>
    <mergeCell ref="L55:L56"/>
    <mergeCell ref="F56:G56"/>
    <mergeCell ref="B53:B54"/>
    <mergeCell ref="C53:D54"/>
    <mergeCell ref="F53:G53"/>
    <mergeCell ref="J53:J54"/>
    <mergeCell ref="K53:K54"/>
    <mergeCell ref="H55:I56"/>
    <mergeCell ref="H53:I54"/>
    <mergeCell ref="L49:L50"/>
    <mergeCell ref="F50:G50"/>
    <mergeCell ref="B51:B52"/>
    <mergeCell ref="C51:D52"/>
    <mergeCell ref="F51:G51"/>
    <mergeCell ref="J51:J52"/>
    <mergeCell ref="K51:K52"/>
    <mergeCell ref="L51:L52"/>
    <mergeCell ref="F52:G52"/>
    <mergeCell ref="B49:B50"/>
    <mergeCell ref="C49:D50"/>
    <mergeCell ref="F49:G49"/>
    <mergeCell ref="J49:J50"/>
    <mergeCell ref="K49:K50"/>
    <mergeCell ref="H49:I50"/>
    <mergeCell ref="H51:I52"/>
    <mergeCell ref="L47:L48"/>
    <mergeCell ref="F48:G48"/>
    <mergeCell ref="K43:K44"/>
    <mergeCell ref="L43:L44"/>
    <mergeCell ref="F44:G44"/>
    <mergeCell ref="C45:D46"/>
    <mergeCell ref="F45:G45"/>
    <mergeCell ref="J45:J46"/>
    <mergeCell ref="K45:K46"/>
    <mergeCell ref="L45:L46"/>
    <mergeCell ref="F46:G46"/>
    <mergeCell ref="H43:I44"/>
    <mergeCell ref="H45:I46"/>
    <mergeCell ref="H47:I48"/>
    <mergeCell ref="E26:F26"/>
    <mergeCell ref="G26:I26"/>
    <mergeCell ref="E27:F27"/>
    <mergeCell ref="G27:I27"/>
    <mergeCell ref="E28:F28"/>
    <mergeCell ref="G28:I28"/>
    <mergeCell ref="F42:G42"/>
    <mergeCell ref="C43:D44"/>
    <mergeCell ref="F43:G43"/>
    <mergeCell ref="B35:L36"/>
    <mergeCell ref="J39:J40"/>
    <mergeCell ref="K39:K40"/>
    <mergeCell ref="L39:L40"/>
    <mergeCell ref="C39:D40"/>
    <mergeCell ref="F39:G39"/>
    <mergeCell ref="F40:G40"/>
    <mergeCell ref="E38:G38"/>
    <mergeCell ref="J41:J42"/>
    <mergeCell ref="K41:K42"/>
    <mergeCell ref="L41:L42"/>
    <mergeCell ref="C38:D38"/>
    <mergeCell ref="H38:I38"/>
    <mergeCell ref="H39:I40"/>
    <mergeCell ref="H41:I42"/>
    <mergeCell ref="K15:K16"/>
    <mergeCell ref="L15:L16"/>
    <mergeCell ref="E20:F20"/>
    <mergeCell ref="E21:F21"/>
    <mergeCell ref="E22:F22"/>
    <mergeCell ref="E23:F23"/>
    <mergeCell ref="G20:I20"/>
    <mergeCell ref="G21:I21"/>
    <mergeCell ref="G22:I22"/>
    <mergeCell ref="G23:I23"/>
    <mergeCell ref="L11:L12"/>
    <mergeCell ref="B13:B14"/>
    <mergeCell ref="C13:C14"/>
    <mergeCell ref="D13:D14"/>
    <mergeCell ref="G13:G14"/>
    <mergeCell ref="I13:I14"/>
    <mergeCell ref="J13:J14"/>
    <mergeCell ref="K13:K14"/>
    <mergeCell ref="L13:L14"/>
    <mergeCell ref="C11:C12"/>
    <mergeCell ref="D11:D12"/>
    <mergeCell ref="G11:G12"/>
    <mergeCell ref="I11:I12"/>
    <mergeCell ref="J11:J12"/>
    <mergeCell ref="K11:K12"/>
    <mergeCell ref="K7:K8"/>
    <mergeCell ref="L7:L8"/>
    <mergeCell ref="B9:B10"/>
    <mergeCell ref="C9:C10"/>
    <mergeCell ref="D9:D10"/>
    <mergeCell ref="G9:G10"/>
    <mergeCell ref="I9:I10"/>
    <mergeCell ref="J9:J10"/>
    <mergeCell ref="K9:K10"/>
    <mergeCell ref="L9:L10"/>
    <mergeCell ref="B7:B8"/>
    <mergeCell ref="C7:C8"/>
    <mergeCell ref="D7:D8"/>
    <mergeCell ref="G7:G8"/>
    <mergeCell ref="I7:I8"/>
    <mergeCell ref="J7:J8"/>
    <mergeCell ref="B47:B48"/>
    <mergeCell ref="B43:B44"/>
    <mergeCell ref="B45:B46"/>
    <mergeCell ref="B39:B40"/>
    <mergeCell ref="B41:B42"/>
    <mergeCell ref="E29:F29"/>
    <mergeCell ref="G29:I29"/>
    <mergeCell ref="B30:I30"/>
    <mergeCell ref="J32:L32"/>
    <mergeCell ref="E32:I32"/>
    <mergeCell ref="B32:D32"/>
    <mergeCell ref="B33:D33"/>
    <mergeCell ref="B34:D34"/>
    <mergeCell ref="E34:I34"/>
    <mergeCell ref="E33:I33"/>
    <mergeCell ref="J43:J44"/>
    <mergeCell ref="J33:L33"/>
    <mergeCell ref="J34:L34"/>
    <mergeCell ref="C41:D42"/>
    <mergeCell ref="F41:G41"/>
    <mergeCell ref="C47:D48"/>
    <mergeCell ref="F47:G47"/>
    <mergeCell ref="J47:J48"/>
    <mergeCell ref="K47:K48"/>
    <mergeCell ref="E24:F24"/>
    <mergeCell ref="G24:I24"/>
    <mergeCell ref="E25:F25"/>
    <mergeCell ref="G25:I25"/>
    <mergeCell ref="B17:J17"/>
    <mergeCell ref="E19:F19"/>
    <mergeCell ref="G19:I19"/>
    <mergeCell ref="B11:B12"/>
    <mergeCell ref="E6:F6"/>
    <mergeCell ref="B15:B16"/>
    <mergeCell ref="C15:C16"/>
    <mergeCell ref="D15:D16"/>
    <mergeCell ref="G15:G16"/>
    <mergeCell ref="I15:I16"/>
    <mergeCell ref="J15:J16"/>
    <mergeCell ref="H7:H8"/>
    <mergeCell ref="H9:H10"/>
    <mergeCell ref="H11:H12"/>
    <mergeCell ref="H13:H14"/>
    <mergeCell ref="H15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11EE-7B05-488B-8B9A-36A7CF642842}">
  <dimension ref="A1:G29"/>
  <sheetViews>
    <sheetView topLeftCell="A15" zoomScale="130" zoomScaleNormal="130" workbookViewId="0">
      <selection activeCell="G22" sqref="G22"/>
    </sheetView>
  </sheetViews>
  <sheetFormatPr defaultRowHeight="14.4" x14ac:dyDescent="0.3"/>
  <cols>
    <col min="1" max="2" width="5.6640625" customWidth="1"/>
    <col min="3" max="3" width="30.5546875" customWidth="1"/>
    <col min="4" max="4" width="20.88671875" customWidth="1"/>
    <col min="5" max="5" width="25.5546875" customWidth="1"/>
    <col min="6" max="6" width="32.33203125" customWidth="1"/>
    <col min="7" max="7" width="37.33203125" customWidth="1"/>
  </cols>
  <sheetData>
    <row r="1" spans="1:7" x14ac:dyDescent="0.3">
      <c r="A1" t="s">
        <v>22</v>
      </c>
      <c r="B1" t="s">
        <v>23</v>
      </c>
    </row>
    <row r="2" spans="1:7" x14ac:dyDescent="0.3">
      <c r="B2" s="171" t="s">
        <v>24</v>
      </c>
      <c r="C2" s="171"/>
      <c r="D2" s="5" t="s">
        <v>25</v>
      </c>
      <c r="E2" s="5" t="s">
        <v>26</v>
      </c>
      <c r="F2" s="5" t="s">
        <v>27</v>
      </c>
      <c r="G2" s="5" t="s">
        <v>28</v>
      </c>
    </row>
    <row r="3" spans="1:7" x14ac:dyDescent="0.3">
      <c r="B3" s="172" t="s">
        <v>423</v>
      </c>
      <c r="C3" s="172"/>
      <c r="D3" s="19" t="s">
        <v>418</v>
      </c>
      <c r="E3" s="72">
        <v>32004</v>
      </c>
      <c r="F3" s="1" t="s">
        <v>426</v>
      </c>
      <c r="G3" s="1" t="s">
        <v>428</v>
      </c>
    </row>
    <row r="4" spans="1:7" x14ac:dyDescent="0.3">
      <c r="B4" s="172" t="s">
        <v>424</v>
      </c>
      <c r="C4" s="172"/>
      <c r="D4" s="19" t="s">
        <v>418</v>
      </c>
      <c r="E4" s="72">
        <v>40249</v>
      </c>
      <c r="F4" s="1" t="s">
        <v>427</v>
      </c>
      <c r="G4" s="1" t="s">
        <v>429</v>
      </c>
    </row>
    <row r="5" spans="1:7" x14ac:dyDescent="0.3">
      <c r="B5" s="172" t="s">
        <v>425</v>
      </c>
      <c r="C5" s="172"/>
      <c r="D5" s="19" t="s">
        <v>418</v>
      </c>
      <c r="E5" s="72">
        <v>41542</v>
      </c>
      <c r="F5" s="1" t="s">
        <v>427</v>
      </c>
      <c r="G5" s="1" t="s">
        <v>429</v>
      </c>
    </row>
    <row r="6" spans="1:7" x14ac:dyDescent="0.3">
      <c r="B6" s="173"/>
      <c r="C6" s="173"/>
      <c r="D6" s="1"/>
      <c r="E6" s="1"/>
      <c r="F6" s="1"/>
      <c r="G6" s="1"/>
    </row>
    <row r="7" spans="1:7" x14ac:dyDescent="0.3">
      <c r="B7" s="173"/>
      <c r="C7" s="173"/>
      <c r="D7" s="1"/>
      <c r="E7" s="1"/>
      <c r="F7" s="1"/>
      <c r="G7" s="1"/>
    </row>
    <row r="8" spans="1:7" x14ac:dyDescent="0.3">
      <c r="B8" s="173"/>
      <c r="C8" s="173"/>
      <c r="D8" s="1"/>
      <c r="E8" s="1"/>
      <c r="F8" s="1"/>
      <c r="G8" s="1"/>
    </row>
    <row r="9" spans="1:7" x14ac:dyDescent="0.3">
      <c r="B9" s="173"/>
      <c r="C9" s="173"/>
      <c r="D9" s="1"/>
      <c r="E9" s="1"/>
      <c r="F9" s="1"/>
      <c r="G9" s="1"/>
    </row>
    <row r="11" spans="1:7" x14ac:dyDescent="0.3">
      <c r="A11" t="s">
        <v>29</v>
      </c>
      <c r="B11" t="s">
        <v>30</v>
      </c>
    </row>
    <row r="12" spans="1:7" x14ac:dyDescent="0.3">
      <c r="B12" s="5" t="s">
        <v>31</v>
      </c>
      <c r="C12" s="5" t="s">
        <v>32</v>
      </c>
      <c r="D12" s="5" t="s">
        <v>33</v>
      </c>
      <c r="E12" s="5" t="s">
        <v>34</v>
      </c>
      <c r="F12" s="5" t="s">
        <v>35</v>
      </c>
      <c r="G12" s="5" t="s">
        <v>36</v>
      </c>
    </row>
    <row r="13" spans="1:7" x14ac:dyDescent="0.3">
      <c r="B13" s="1">
        <v>1</v>
      </c>
      <c r="C13" s="1" t="s">
        <v>417</v>
      </c>
      <c r="D13" s="19" t="s">
        <v>418</v>
      </c>
      <c r="E13" s="20">
        <v>2000000000</v>
      </c>
      <c r="F13" s="20">
        <v>6000000</v>
      </c>
      <c r="G13" s="21">
        <f>E13-F13</f>
        <v>1994000000</v>
      </c>
    </row>
    <row r="14" spans="1:7" x14ac:dyDescent="0.3">
      <c r="B14" s="1">
        <v>2</v>
      </c>
      <c r="C14" s="1" t="s">
        <v>417</v>
      </c>
      <c r="D14" s="19" t="s">
        <v>418</v>
      </c>
      <c r="E14" s="20">
        <v>524000000</v>
      </c>
      <c r="F14" s="20"/>
      <c r="G14" s="21">
        <f>E14-F14</f>
        <v>524000000</v>
      </c>
    </row>
    <row r="15" spans="1:7" x14ac:dyDescent="0.3">
      <c r="B15" s="1"/>
      <c r="C15" s="1"/>
      <c r="D15" s="1"/>
      <c r="E15" s="1"/>
      <c r="F15" s="1"/>
      <c r="G15" s="1"/>
    </row>
    <row r="16" spans="1:7" x14ac:dyDescent="0.3">
      <c r="B16" s="1"/>
      <c r="C16" s="1"/>
      <c r="D16" s="1"/>
      <c r="E16" s="1"/>
      <c r="F16" s="1"/>
      <c r="G16" s="1"/>
    </row>
    <row r="17" spans="1:7" x14ac:dyDescent="0.3">
      <c r="B17" s="1"/>
      <c r="C17" s="1"/>
      <c r="D17" s="1"/>
      <c r="E17" s="1"/>
      <c r="F17" s="1"/>
      <c r="G17" s="1"/>
    </row>
    <row r="18" spans="1:7" x14ac:dyDescent="0.3">
      <c r="B18" s="168" t="s">
        <v>37</v>
      </c>
      <c r="C18" s="169"/>
      <c r="D18" s="169"/>
      <c r="E18" s="169"/>
      <c r="F18" s="170"/>
      <c r="G18" s="21">
        <f>SUM(G13:G17)</f>
        <v>2518000000</v>
      </c>
    </row>
    <row r="20" spans="1:7" x14ac:dyDescent="0.3">
      <c r="A20" t="s">
        <v>38</v>
      </c>
      <c r="B20" t="s">
        <v>39</v>
      </c>
    </row>
    <row r="21" spans="1:7" x14ac:dyDescent="0.3">
      <c r="B21" s="5" t="s">
        <v>31</v>
      </c>
      <c r="C21" s="5" t="s">
        <v>40</v>
      </c>
      <c r="D21" s="5" t="s">
        <v>41</v>
      </c>
      <c r="E21" s="5" t="s">
        <v>42</v>
      </c>
      <c r="F21" s="5" t="s">
        <v>34</v>
      </c>
      <c r="G21" s="5" t="s">
        <v>43</v>
      </c>
    </row>
    <row r="22" spans="1:7" x14ac:dyDescent="0.3">
      <c r="B22" s="1">
        <v>1</v>
      </c>
      <c r="C22" s="1" t="s">
        <v>420</v>
      </c>
      <c r="D22" s="1" t="s">
        <v>421</v>
      </c>
      <c r="E22" s="1" t="s">
        <v>422</v>
      </c>
      <c r="F22" s="20">
        <v>2000000000</v>
      </c>
      <c r="G22" s="20">
        <v>524650000</v>
      </c>
    </row>
    <row r="23" spans="1:7" ht="15" customHeight="1" x14ac:dyDescent="0.3">
      <c r="B23" s="1">
        <v>2</v>
      </c>
      <c r="C23" s="1" t="s">
        <v>420</v>
      </c>
      <c r="D23" s="1" t="s">
        <v>494</v>
      </c>
      <c r="E23" s="1" t="s">
        <v>422</v>
      </c>
      <c r="F23" s="20">
        <v>524000000</v>
      </c>
      <c r="G23" s="20">
        <v>13100000</v>
      </c>
    </row>
    <row r="24" spans="1:7" x14ac:dyDescent="0.3">
      <c r="B24" s="1"/>
      <c r="C24" s="1"/>
      <c r="D24" s="1"/>
      <c r="E24" s="1"/>
      <c r="F24" s="1"/>
      <c r="G24" s="21"/>
    </row>
    <row r="25" spans="1:7" x14ac:dyDescent="0.3">
      <c r="B25" s="1"/>
      <c r="C25" s="1"/>
      <c r="D25" s="1"/>
      <c r="E25" s="1"/>
      <c r="F25" s="1"/>
      <c r="G25" s="21"/>
    </row>
    <row r="26" spans="1:7" x14ac:dyDescent="0.3">
      <c r="B26" s="1"/>
      <c r="C26" s="1"/>
      <c r="D26" s="1"/>
      <c r="E26" s="1"/>
      <c r="F26" s="1"/>
      <c r="G26" s="21"/>
    </row>
    <row r="27" spans="1:7" x14ac:dyDescent="0.3">
      <c r="B27" s="168" t="s">
        <v>44</v>
      </c>
      <c r="C27" s="169"/>
      <c r="D27" s="169"/>
      <c r="E27" s="169"/>
      <c r="F27" s="170"/>
      <c r="G27" s="20">
        <f>SUM(G22:G26)</f>
        <v>537750000</v>
      </c>
    </row>
    <row r="28" spans="1:7" x14ac:dyDescent="0.3">
      <c r="B28" s="168" t="s">
        <v>45</v>
      </c>
      <c r="C28" s="169"/>
      <c r="D28" s="169"/>
      <c r="E28" s="169"/>
      <c r="F28" s="170"/>
      <c r="G28" s="21"/>
    </row>
    <row r="29" spans="1:7" x14ac:dyDescent="0.3">
      <c r="B29" s="168" t="s">
        <v>46</v>
      </c>
      <c r="C29" s="169"/>
      <c r="D29" s="169"/>
      <c r="E29" s="169"/>
      <c r="F29" s="170"/>
      <c r="G29" s="21">
        <f>G27</f>
        <v>537750000</v>
      </c>
    </row>
  </sheetData>
  <mergeCells count="12">
    <mergeCell ref="B29:F29"/>
    <mergeCell ref="B2:C2"/>
    <mergeCell ref="B3:C3"/>
    <mergeCell ref="B4:C4"/>
    <mergeCell ref="B5:C5"/>
    <mergeCell ref="B6:C6"/>
    <mergeCell ref="B7:C7"/>
    <mergeCell ref="B8:C8"/>
    <mergeCell ref="B9:C9"/>
    <mergeCell ref="B18:F18"/>
    <mergeCell ref="B27:F27"/>
    <mergeCell ref="B28:F28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1E42-FE69-4242-91C9-A7F3DC56BE9F}">
  <dimension ref="A1:G19"/>
  <sheetViews>
    <sheetView zoomScale="86" zoomScaleNormal="86" workbookViewId="0">
      <selection activeCell="B1" sqref="B1"/>
    </sheetView>
  </sheetViews>
  <sheetFormatPr defaultRowHeight="14.4" x14ac:dyDescent="0.3"/>
  <cols>
    <col min="1" max="1" width="4" customWidth="1"/>
    <col min="3" max="3" width="26.5546875" customWidth="1"/>
    <col min="4" max="4" width="18.33203125" bestFit="1" customWidth="1"/>
    <col min="5" max="5" width="19.33203125" customWidth="1"/>
    <col min="6" max="6" width="24.109375" customWidth="1"/>
    <col min="7" max="7" width="20.33203125" customWidth="1"/>
  </cols>
  <sheetData>
    <row r="1" spans="1:7" x14ac:dyDescent="0.3">
      <c r="A1" t="s">
        <v>0</v>
      </c>
      <c r="B1" t="s">
        <v>47</v>
      </c>
    </row>
    <row r="2" spans="1:7" x14ac:dyDescent="0.3">
      <c r="B2" s="5" t="s">
        <v>31</v>
      </c>
      <c r="C2" s="5" t="s">
        <v>40</v>
      </c>
      <c r="D2" s="5" t="s">
        <v>3</v>
      </c>
      <c r="E2" s="5" t="s">
        <v>48</v>
      </c>
      <c r="F2" s="5" t="s">
        <v>49</v>
      </c>
      <c r="G2" s="5" t="s">
        <v>50</v>
      </c>
    </row>
    <row r="3" spans="1:7" x14ac:dyDescent="0.3">
      <c r="B3" s="1"/>
      <c r="C3" s="1"/>
      <c r="D3" s="1"/>
      <c r="E3" s="1"/>
      <c r="F3" s="1"/>
      <c r="G3" s="1"/>
    </row>
    <row r="4" spans="1:7" x14ac:dyDescent="0.3">
      <c r="B4" s="1"/>
      <c r="C4" s="1"/>
      <c r="D4" s="1"/>
      <c r="E4" s="1"/>
      <c r="F4" s="1"/>
      <c r="G4" s="1"/>
    </row>
    <row r="5" spans="1:7" x14ac:dyDescent="0.3">
      <c r="B5" s="1"/>
      <c r="C5" s="1"/>
      <c r="D5" s="1"/>
      <c r="E5" s="1"/>
      <c r="F5" s="1"/>
      <c r="G5" s="1"/>
    </row>
    <row r="6" spans="1:7" x14ac:dyDescent="0.3">
      <c r="B6" s="1"/>
      <c r="C6" s="1"/>
      <c r="D6" s="1"/>
      <c r="E6" s="1"/>
      <c r="F6" s="1"/>
      <c r="G6" s="1"/>
    </row>
    <row r="7" spans="1:7" x14ac:dyDescent="0.3">
      <c r="B7" s="1"/>
      <c r="C7" s="1"/>
      <c r="D7" s="1"/>
      <c r="E7" s="1"/>
      <c r="F7" s="1"/>
      <c r="G7" s="1"/>
    </row>
    <row r="8" spans="1:7" x14ac:dyDescent="0.3">
      <c r="B8" s="168" t="s">
        <v>51</v>
      </c>
      <c r="C8" s="169"/>
      <c r="D8" s="169"/>
      <c r="E8" s="169"/>
      <c r="F8" s="7"/>
      <c r="G8" s="1"/>
    </row>
    <row r="10" spans="1:7" x14ac:dyDescent="0.3">
      <c r="A10" t="s">
        <v>52</v>
      </c>
      <c r="B10" t="s">
        <v>53</v>
      </c>
    </row>
    <row r="11" spans="1:7" x14ac:dyDescent="0.3">
      <c r="B11" s="174" t="s">
        <v>31</v>
      </c>
      <c r="C11" s="174" t="s">
        <v>3</v>
      </c>
      <c r="D11" s="174" t="s">
        <v>48</v>
      </c>
      <c r="E11" s="168" t="s">
        <v>54</v>
      </c>
      <c r="F11" s="170"/>
      <c r="G11" s="174" t="s">
        <v>34</v>
      </c>
    </row>
    <row r="12" spans="1:7" x14ac:dyDescent="0.3">
      <c r="B12" s="175"/>
      <c r="C12" s="175"/>
      <c r="D12" s="175"/>
      <c r="E12" s="5" t="s">
        <v>55</v>
      </c>
      <c r="F12" s="5" t="s">
        <v>24</v>
      </c>
      <c r="G12" s="175"/>
    </row>
    <row r="13" spans="1:7" x14ac:dyDescent="0.3">
      <c r="B13" s="1"/>
      <c r="C13" s="1"/>
      <c r="D13" s="1"/>
      <c r="E13" s="1"/>
      <c r="F13" s="1"/>
      <c r="G13" s="1"/>
    </row>
    <row r="14" spans="1:7" x14ac:dyDescent="0.3">
      <c r="B14" s="1"/>
      <c r="C14" s="1"/>
      <c r="D14" s="1"/>
      <c r="E14" s="1"/>
      <c r="F14" s="1"/>
      <c r="G14" s="1"/>
    </row>
    <row r="15" spans="1:7" x14ac:dyDescent="0.3">
      <c r="B15" s="1"/>
      <c r="C15" s="1"/>
      <c r="D15" s="1"/>
      <c r="E15" s="1"/>
      <c r="F15" s="1"/>
      <c r="G15" s="1"/>
    </row>
    <row r="16" spans="1:7" x14ac:dyDescent="0.3">
      <c r="B16" s="1"/>
      <c r="C16" s="1"/>
      <c r="D16" s="1"/>
      <c r="E16" s="1"/>
      <c r="F16" s="1"/>
      <c r="G16" s="1"/>
    </row>
    <row r="17" spans="1:7" x14ac:dyDescent="0.3">
      <c r="B17" s="168" t="s">
        <v>56</v>
      </c>
      <c r="C17" s="169"/>
      <c r="D17" s="169"/>
      <c r="E17" s="169"/>
      <c r="F17" s="170"/>
      <c r="G17" s="1"/>
    </row>
    <row r="19" spans="1:7" x14ac:dyDescent="0.3">
      <c r="A19" t="s">
        <v>22</v>
      </c>
      <c r="B19" t="s">
        <v>57</v>
      </c>
    </row>
  </sheetData>
  <mergeCells count="7">
    <mergeCell ref="G11:G12"/>
    <mergeCell ref="B17:F17"/>
    <mergeCell ref="B8:E8"/>
    <mergeCell ref="B11:B12"/>
    <mergeCell ref="C11:C12"/>
    <mergeCell ref="D11:D12"/>
    <mergeCell ref="E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1E3F-48CE-48EA-AB42-617310E60B66}">
  <dimension ref="A1:K52"/>
  <sheetViews>
    <sheetView topLeftCell="A14" zoomScale="140" zoomScaleNormal="140" workbookViewId="0">
      <selection activeCell="I44" sqref="I44:J44"/>
    </sheetView>
  </sheetViews>
  <sheetFormatPr defaultRowHeight="14.4" x14ac:dyDescent="0.3"/>
  <cols>
    <col min="1" max="1" width="6.6640625" customWidth="1"/>
    <col min="3" max="3" width="35.109375" customWidth="1"/>
    <col min="4" max="4" width="20.33203125" customWidth="1"/>
    <col min="5" max="5" width="19" customWidth="1"/>
    <col min="6" max="6" width="11.33203125" customWidth="1"/>
    <col min="7" max="7" width="11.44140625" bestFit="1" customWidth="1"/>
    <col min="8" max="8" width="14.5546875" customWidth="1"/>
    <col min="9" max="9" width="13.6640625" customWidth="1"/>
    <col min="10" max="10" width="26.6640625" customWidth="1"/>
    <col min="11" max="11" width="18.88671875" customWidth="1"/>
  </cols>
  <sheetData>
    <row r="1" spans="1:11" x14ac:dyDescent="0.3">
      <c r="A1" t="s">
        <v>58</v>
      </c>
      <c r="B1" t="s">
        <v>59</v>
      </c>
    </row>
    <row r="2" spans="1:11" x14ac:dyDescent="0.3">
      <c r="B2" s="9" t="s">
        <v>3</v>
      </c>
      <c r="C2" s="174" t="s">
        <v>61</v>
      </c>
      <c r="D2" s="9" t="s">
        <v>62</v>
      </c>
      <c r="E2" s="9" t="s">
        <v>64</v>
      </c>
      <c r="F2" s="9" t="s">
        <v>66</v>
      </c>
      <c r="G2" s="9" t="s">
        <v>65</v>
      </c>
      <c r="H2" s="9" t="s">
        <v>69</v>
      </c>
      <c r="I2" s="9" t="s">
        <v>69</v>
      </c>
      <c r="J2" s="9" t="s">
        <v>3</v>
      </c>
      <c r="K2" s="174" t="s">
        <v>73</v>
      </c>
    </row>
    <row r="3" spans="1:11" x14ac:dyDescent="0.3">
      <c r="B3" s="10" t="s">
        <v>60</v>
      </c>
      <c r="C3" s="175"/>
      <c r="D3" s="10" t="s">
        <v>63</v>
      </c>
      <c r="E3" s="10" t="s">
        <v>65</v>
      </c>
      <c r="F3" s="10" t="s">
        <v>67</v>
      </c>
      <c r="G3" s="10" t="s">
        <v>68</v>
      </c>
      <c r="H3" s="10" t="s">
        <v>70</v>
      </c>
      <c r="I3" s="10" t="s">
        <v>71</v>
      </c>
      <c r="J3" s="10" t="s">
        <v>72</v>
      </c>
      <c r="K3" s="175"/>
    </row>
    <row r="4" spans="1:11" x14ac:dyDescent="0.3">
      <c r="B4" s="11"/>
      <c r="C4" s="8" t="s">
        <v>74</v>
      </c>
      <c r="D4" s="12"/>
      <c r="E4" s="12"/>
      <c r="F4" s="12"/>
      <c r="G4" s="12"/>
      <c r="H4" s="12"/>
      <c r="I4" s="12"/>
      <c r="J4" s="12"/>
      <c r="K4" s="12"/>
    </row>
    <row r="5" spans="1:11" x14ac:dyDescent="0.3">
      <c r="B5" s="2">
        <v>4021</v>
      </c>
      <c r="C5" s="1" t="s">
        <v>75</v>
      </c>
      <c r="D5" s="20">
        <v>3000000000</v>
      </c>
      <c r="E5" s="1"/>
      <c r="F5" s="1"/>
      <c r="G5" s="1"/>
      <c r="H5" s="1"/>
      <c r="I5" s="1"/>
      <c r="J5" s="1"/>
      <c r="K5" s="21">
        <f>D5</f>
        <v>3000000000</v>
      </c>
    </row>
    <row r="6" spans="1:11" x14ac:dyDescent="0.3">
      <c r="B6" s="2">
        <v>5020</v>
      </c>
      <c r="C6" s="1" t="s">
        <v>76</v>
      </c>
      <c r="D6" s="20"/>
      <c r="E6" s="12"/>
      <c r="F6" s="12"/>
      <c r="G6" s="1"/>
      <c r="H6" s="1"/>
      <c r="I6" s="1"/>
      <c r="J6" s="1"/>
      <c r="K6" s="21">
        <f t="shared" ref="K6:K21" si="0">D6</f>
        <v>0</v>
      </c>
    </row>
    <row r="7" spans="1:11" x14ac:dyDescent="0.3">
      <c r="B7" s="2">
        <v>4300</v>
      </c>
      <c r="C7" s="1" t="s">
        <v>77</v>
      </c>
      <c r="D7" s="20">
        <f>D5-D6</f>
        <v>3000000000</v>
      </c>
      <c r="E7" s="12"/>
      <c r="F7" s="12"/>
      <c r="G7" s="1"/>
      <c r="H7" s="12"/>
      <c r="I7" s="12"/>
      <c r="J7" s="12"/>
      <c r="K7" s="21">
        <f t="shared" si="0"/>
        <v>3000000000</v>
      </c>
    </row>
    <row r="8" spans="1:11" x14ac:dyDescent="0.3">
      <c r="B8" s="3"/>
      <c r="C8" s="8" t="s">
        <v>78</v>
      </c>
      <c r="D8" s="22"/>
      <c r="E8" s="12"/>
      <c r="F8" s="12"/>
      <c r="G8" s="12"/>
      <c r="H8" s="12"/>
      <c r="I8" s="12"/>
      <c r="J8" s="12"/>
      <c r="K8" s="21">
        <f t="shared" si="0"/>
        <v>0</v>
      </c>
    </row>
    <row r="9" spans="1:11" x14ac:dyDescent="0.3">
      <c r="B9" s="2">
        <v>5311</v>
      </c>
      <c r="C9" s="1" t="s">
        <v>79</v>
      </c>
      <c r="D9" s="20">
        <v>960000000</v>
      </c>
      <c r="E9" s="12"/>
      <c r="F9" s="12"/>
      <c r="G9" s="1"/>
      <c r="H9" s="1"/>
      <c r="I9" s="1"/>
      <c r="J9" s="1"/>
      <c r="K9" s="21">
        <f t="shared" si="0"/>
        <v>960000000</v>
      </c>
    </row>
    <row r="10" spans="1:11" x14ac:dyDescent="0.3">
      <c r="B10" s="2">
        <v>5313</v>
      </c>
      <c r="C10" s="1" t="s">
        <v>80</v>
      </c>
      <c r="D10" s="20"/>
      <c r="E10" s="12"/>
      <c r="F10" s="12"/>
      <c r="G10" s="1"/>
      <c r="H10" s="1"/>
      <c r="I10" s="1"/>
      <c r="J10" s="1"/>
      <c r="K10" s="21">
        <f t="shared" si="0"/>
        <v>0</v>
      </c>
    </row>
    <row r="11" spans="1:11" x14ac:dyDescent="0.3">
      <c r="B11" s="2">
        <v>5314</v>
      </c>
      <c r="C11" s="1" t="s">
        <v>81</v>
      </c>
      <c r="D11" s="20">
        <v>63000000</v>
      </c>
      <c r="E11" s="12"/>
      <c r="F11" s="12"/>
      <c r="G11" s="1"/>
      <c r="H11" s="1"/>
      <c r="I11" s="1"/>
      <c r="J11" s="1"/>
      <c r="K11" s="21">
        <f t="shared" si="0"/>
        <v>63000000</v>
      </c>
    </row>
    <row r="12" spans="1:11" x14ac:dyDescent="0.3">
      <c r="B12" s="2">
        <v>5315</v>
      </c>
      <c r="C12" s="1" t="s">
        <v>82</v>
      </c>
      <c r="D12" s="20">
        <v>300000000</v>
      </c>
      <c r="E12" s="12"/>
      <c r="F12" s="12"/>
      <c r="G12" s="1"/>
      <c r="H12" s="1"/>
      <c r="I12" s="1"/>
      <c r="J12" s="1"/>
      <c r="K12" s="21">
        <f t="shared" si="0"/>
        <v>300000000</v>
      </c>
    </row>
    <row r="13" spans="1:11" x14ac:dyDescent="0.3">
      <c r="B13" s="2">
        <v>5316</v>
      </c>
      <c r="C13" s="1" t="s">
        <v>83</v>
      </c>
      <c r="D13" s="20"/>
      <c r="E13" s="12"/>
      <c r="F13" s="12"/>
      <c r="G13" s="1"/>
      <c r="H13" s="1"/>
      <c r="I13" s="1"/>
      <c r="J13" s="1"/>
      <c r="K13" s="21">
        <f t="shared" si="0"/>
        <v>0</v>
      </c>
    </row>
    <row r="14" spans="1:11" x14ac:dyDescent="0.3">
      <c r="B14" s="2">
        <v>5317</v>
      </c>
      <c r="C14" s="1" t="s">
        <v>84</v>
      </c>
      <c r="D14" s="20">
        <v>48000000</v>
      </c>
      <c r="E14" s="12"/>
      <c r="F14" s="12"/>
      <c r="G14" s="1"/>
      <c r="H14" s="1"/>
      <c r="I14" s="1"/>
      <c r="J14" s="1"/>
      <c r="K14" s="21">
        <f t="shared" si="0"/>
        <v>48000000</v>
      </c>
    </row>
    <row r="15" spans="1:11" x14ac:dyDescent="0.3">
      <c r="B15" s="2">
        <v>5318</v>
      </c>
      <c r="C15" s="1" t="s">
        <v>85</v>
      </c>
      <c r="D15" s="20"/>
      <c r="E15" s="12"/>
      <c r="F15" s="12"/>
      <c r="G15" s="1"/>
      <c r="H15" s="1"/>
      <c r="I15" s="1"/>
      <c r="J15" s="1"/>
      <c r="K15" s="21">
        <f t="shared" si="0"/>
        <v>0</v>
      </c>
    </row>
    <row r="16" spans="1:11" x14ac:dyDescent="0.3">
      <c r="B16" s="2">
        <v>5320</v>
      </c>
      <c r="C16" s="1" t="s">
        <v>86</v>
      </c>
      <c r="D16" s="20"/>
      <c r="E16" s="12"/>
      <c r="F16" s="12"/>
      <c r="G16" s="1"/>
      <c r="H16" s="1"/>
      <c r="I16" s="1"/>
      <c r="J16" s="1"/>
      <c r="K16" s="21">
        <f t="shared" si="0"/>
        <v>0</v>
      </c>
    </row>
    <row r="17" spans="1:11" x14ac:dyDescent="0.3">
      <c r="B17" s="2">
        <v>5321</v>
      </c>
      <c r="C17" s="1" t="s">
        <v>87</v>
      </c>
      <c r="D17" s="20"/>
      <c r="E17" s="12"/>
      <c r="F17" s="12"/>
      <c r="G17" s="1"/>
      <c r="H17" s="1"/>
      <c r="I17" s="1"/>
      <c r="J17" s="1"/>
      <c r="K17" s="21">
        <f t="shared" si="0"/>
        <v>0</v>
      </c>
    </row>
    <row r="18" spans="1:11" x14ac:dyDescent="0.3">
      <c r="B18" s="2">
        <v>5322</v>
      </c>
      <c r="C18" s="1" t="s">
        <v>88</v>
      </c>
      <c r="D18" s="20">
        <v>5400000</v>
      </c>
      <c r="E18" s="12"/>
      <c r="F18" s="12"/>
      <c r="G18" s="1"/>
      <c r="H18" s="1"/>
      <c r="I18" s="1"/>
      <c r="J18" s="1"/>
      <c r="K18" s="21">
        <f t="shared" si="0"/>
        <v>5400000</v>
      </c>
    </row>
    <row r="19" spans="1:11" x14ac:dyDescent="0.3">
      <c r="B19" s="2">
        <v>5399</v>
      </c>
      <c r="C19" s="1" t="s">
        <v>89</v>
      </c>
      <c r="D19" s="20">
        <v>600000000</v>
      </c>
      <c r="E19" s="12"/>
      <c r="F19" s="12"/>
      <c r="G19" s="1"/>
      <c r="H19" s="1"/>
      <c r="I19" s="1"/>
      <c r="J19" s="1"/>
      <c r="K19" s="21">
        <f t="shared" si="0"/>
        <v>600000000</v>
      </c>
    </row>
    <row r="20" spans="1:11" x14ac:dyDescent="0.3">
      <c r="B20" s="2">
        <v>5400</v>
      </c>
      <c r="C20" s="1" t="s">
        <v>90</v>
      </c>
      <c r="D20" s="20">
        <f>SUM(D9:D19)</f>
        <v>1976400000</v>
      </c>
      <c r="E20" s="12"/>
      <c r="F20" s="12"/>
      <c r="G20" s="1"/>
      <c r="H20" s="12"/>
      <c r="I20" s="12"/>
      <c r="J20" s="12"/>
      <c r="K20" s="21">
        <f t="shared" si="0"/>
        <v>1976400000</v>
      </c>
    </row>
    <row r="21" spans="1:11" x14ac:dyDescent="0.3">
      <c r="B21" s="5">
        <v>4800</v>
      </c>
      <c r="C21" s="8" t="s">
        <v>91</v>
      </c>
      <c r="D21" s="20">
        <f>D7-D20</f>
        <v>1023600000</v>
      </c>
      <c r="E21" s="1"/>
      <c r="F21" s="1"/>
      <c r="G21" s="1"/>
      <c r="H21" s="1"/>
      <c r="I21" s="1"/>
      <c r="J21" s="12"/>
      <c r="K21" s="92">
        <f t="shared" si="0"/>
        <v>1023600000</v>
      </c>
    </row>
    <row r="22" spans="1:11" x14ac:dyDescent="0.3">
      <c r="B22" s="178" t="s">
        <v>92</v>
      </c>
      <c r="C22" s="178"/>
      <c r="D22" s="178"/>
      <c r="E22" s="178"/>
      <c r="F22" s="178"/>
      <c r="G22" s="178"/>
      <c r="H22" s="178"/>
      <c r="I22" s="178"/>
      <c r="J22" s="178"/>
      <c r="K22" s="178"/>
    </row>
    <row r="23" spans="1:11" x14ac:dyDescent="0.3">
      <c r="A23" t="s">
        <v>93</v>
      </c>
      <c r="B23" t="s">
        <v>94</v>
      </c>
    </row>
    <row r="24" spans="1:11" x14ac:dyDescent="0.3">
      <c r="B24" s="9" t="s">
        <v>3</v>
      </c>
      <c r="C24" s="179" t="s">
        <v>60</v>
      </c>
      <c r="D24" s="180"/>
      <c r="E24" s="181"/>
      <c r="H24" s="9" t="s">
        <v>3</v>
      </c>
      <c r="I24" s="179" t="s">
        <v>60</v>
      </c>
      <c r="J24" s="180"/>
      <c r="K24" s="181"/>
    </row>
    <row r="25" spans="1:11" x14ac:dyDescent="0.3">
      <c r="B25" s="10" t="s">
        <v>60</v>
      </c>
      <c r="C25" s="182"/>
      <c r="D25" s="183"/>
      <c r="E25" s="184"/>
      <c r="H25" s="10" t="s">
        <v>60</v>
      </c>
      <c r="I25" s="182"/>
      <c r="J25" s="183"/>
      <c r="K25" s="184"/>
    </row>
    <row r="26" spans="1:11" x14ac:dyDescent="0.3">
      <c r="B26" s="12"/>
      <c r="C26" s="177" t="s">
        <v>95</v>
      </c>
      <c r="D26" s="177"/>
      <c r="E26" s="12"/>
      <c r="H26" s="12"/>
      <c r="I26" s="177" t="s">
        <v>118</v>
      </c>
      <c r="J26" s="177"/>
      <c r="K26" s="12"/>
    </row>
    <row r="27" spans="1:11" x14ac:dyDescent="0.3">
      <c r="B27" s="2">
        <v>1101</v>
      </c>
      <c r="C27" s="172" t="s">
        <v>2</v>
      </c>
      <c r="D27" s="172"/>
      <c r="E27" s="20">
        <f>330000000+554600000</f>
        <v>884600000</v>
      </c>
      <c r="H27" s="2">
        <v>2102</v>
      </c>
      <c r="I27" s="172" t="s">
        <v>119</v>
      </c>
      <c r="J27" s="172"/>
      <c r="K27" s="1"/>
    </row>
    <row r="28" spans="1:11" x14ac:dyDescent="0.3">
      <c r="B28" s="2">
        <v>1200</v>
      </c>
      <c r="C28" s="172" t="s">
        <v>96</v>
      </c>
      <c r="D28" s="172"/>
      <c r="E28" s="20"/>
      <c r="H28" s="2">
        <v>2103</v>
      </c>
      <c r="I28" s="172" t="s">
        <v>120</v>
      </c>
      <c r="J28" s="172"/>
      <c r="K28" s="1"/>
    </row>
    <row r="29" spans="1:11" x14ac:dyDescent="0.3">
      <c r="B29" s="2">
        <v>1122</v>
      </c>
      <c r="C29" s="172" t="s">
        <v>97</v>
      </c>
      <c r="D29" s="172"/>
      <c r="E29" s="20"/>
      <c r="H29" s="2">
        <v>2111</v>
      </c>
      <c r="I29" s="172" t="s">
        <v>121</v>
      </c>
      <c r="J29" s="172"/>
      <c r="K29" s="1"/>
    </row>
    <row r="30" spans="1:11" x14ac:dyDescent="0.3">
      <c r="B30" s="2">
        <v>1123</v>
      </c>
      <c r="C30" s="172" t="s">
        <v>98</v>
      </c>
      <c r="D30" s="172"/>
      <c r="E30" s="20"/>
      <c r="H30" s="2">
        <v>2191</v>
      </c>
      <c r="I30" s="172" t="s">
        <v>122</v>
      </c>
      <c r="J30" s="172"/>
      <c r="K30" s="1"/>
    </row>
    <row r="31" spans="1:11" x14ac:dyDescent="0.3">
      <c r="B31" s="2">
        <v>1124</v>
      </c>
      <c r="C31" s="172" t="s">
        <v>99</v>
      </c>
      <c r="D31" s="172"/>
      <c r="E31" s="20"/>
      <c r="H31" s="2">
        <v>2192</v>
      </c>
      <c r="I31" s="172" t="s">
        <v>123</v>
      </c>
      <c r="J31" s="172"/>
      <c r="K31" s="1"/>
    </row>
    <row r="32" spans="1:11" x14ac:dyDescent="0.3">
      <c r="B32" s="2">
        <v>1125</v>
      </c>
      <c r="C32" s="172" t="s">
        <v>100</v>
      </c>
      <c r="D32" s="172"/>
      <c r="E32" s="20"/>
      <c r="H32" s="2">
        <v>2195</v>
      </c>
      <c r="I32" s="172" t="s">
        <v>124</v>
      </c>
      <c r="J32" s="172"/>
      <c r="K32" s="1"/>
    </row>
    <row r="33" spans="2:11" x14ac:dyDescent="0.3">
      <c r="B33" s="2">
        <v>1131</v>
      </c>
      <c r="C33" s="172" t="s">
        <v>101</v>
      </c>
      <c r="D33" s="172"/>
      <c r="E33" s="20"/>
      <c r="H33" s="2">
        <v>2201</v>
      </c>
      <c r="I33" s="172" t="s">
        <v>125</v>
      </c>
      <c r="J33" s="172"/>
      <c r="K33" s="1"/>
    </row>
    <row r="34" spans="2:11" x14ac:dyDescent="0.3">
      <c r="B34" s="2">
        <v>1401</v>
      </c>
      <c r="C34" s="172" t="s">
        <v>102</v>
      </c>
      <c r="D34" s="172"/>
      <c r="E34" s="20"/>
      <c r="H34" s="2">
        <v>2202</v>
      </c>
      <c r="I34" s="172" t="s">
        <v>126</v>
      </c>
      <c r="J34" s="172"/>
      <c r="K34" s="1"/>
    </row>
    <row r="35" spans="2:11" x14ac:dyDescent="0.3">
      <c r="B35" s="2">
        <v>1421</v>
      </c>
      <c r="C35" s="172" t="s">
        <v>103</v>
      </c>
      <c r="D35" s="172"/>
      <c r="E35" s="20"/>
      <c r="H35" s="2">
        <v>2203</v>
      </c>
      <c r="I35" s="172" t="s">
        <v>104</v>
      </c>
      <c r="J35" s="172"/>
      <c r="K35" s="1"/>
    </row>
    <row r="36" spans="2:11" x14ac:dyDescent="0.3">
      <c r="B36" s="2">
        <v>1422</v>
      </c>
      <c r="C36" s="172" t="s">
        <v>104</v>
      </c>
      <c r="D36" s="172"/>
      <c r="E36" s="20"/>
      <c r="H36" s="2">
        <v>2228</v>
      </c>
      <c r="I36" s="172" t="s">
        <v>127</v>
      </c>
      <c r="J36" s="172"/>
      <c r="K36" s="1"/>
    </row>
    <row r="37" spans="2:11" x14ac:dyDescent="0.3">
      <c r="B37" s="2">
        <v>1423</v>
      </c>
      <c r="C37" s="172" t="s">
        <v>105</v>
      </c>
      <c r="D37" s="172"/>
      <c r="E37" s="20"/>
      <c r="H37" s="16"/>
      <c r="I37" s="177" t="s">
        <v>128</v>
      </c>
      <c r="J37" s="177"/>
      <c r="K37" s="17"/>
    </row>
    <row r="38" spans="2:11" x14ac:dyDescent="0.3">
      <c r="B38" s="2">
        <v>1499</v>
      </c>
      <c r="C38" s="172" t="s">
        <v>106</v>
      </c>
      <c r="D38" s="172"/>
      <c r="E38" s="20">
        <f>90000000+110000000+250000000</f>
        <v>450000000</v>
      </c>
      <c r="H38" s="2">
        <v>2301</v>
      </c>
      <c r="I38" s="172" t="s">
        <v>129</v>
      </c>
      <c r="J38" s="172"/>
      <c r="K38" s="1"/>
    </row>
    <row r="39" spans="2:11" x14ac:dyDescent="0.3">
      <c r="B39" s="13"/>
      <c r="C39" s="177" t="s">
        <v>107</v>
      </c>
      <c r="D39" s="177"/>
      <c r="E39" s="22"/>
      <c r="H39" s="14">
        <v>2303</v>
      </c>
      <c r="I39" s="185" t="s">
        <v>130</v>
      </c>
      <c r="J39" s="185"/>
      <c r="K39" s="15"/>
    </row>
    <row r="40" spans="2:11" x14ac:dyDescent="0.3">
      <c r="B40" s="2">
        <v>1501</v>
      </c>
      <c r="C40" s="172" t="s">
        <v>108</v>
      </c>
      <c r="D40" s="172"/>
      <c r="E40" s="20"/>
      <c r="H40" s="2">
        <v>2304</v>
      </c>
      <c r="I40" s="172" t="s">
        <v>131</v>
      </c>
      <c r="J40" s="172"/>
      <c r="K40" s="1"/>
    </row>
    <row r="41" spans="2:11" x14ac:dyDescent="0.3">
      <c r="B41" s="2">
        <v>1523</v>
      </c>
      <c r="C41" s="172" t="s">
        <v>109</v>
      </c>
      <c r="D41" s="172"/>
      <c r="E41" s="20"/>
      <c r="H41" s="2">
        <v>2321</v>
      </c>
      <c r="I41" s="172" t="s">
        <v>132</v>
      </c>
      <c r="J41" s="172"/>
      <c r="K41" s="1"/>
    </row>
    <row r="42" spans="2:11" x14ac:dyDescent="0.3">
      <c r="B42" s="2">
        <v>1524</v>
      </c>
      <c r="C42" s="172" t="s">
        <v>110</v>
      </c>
      <c r="D42" s="172"/>
      <c r="E42" s="20"/>
      <c r="H42" s="2">
        <v>2998</v>
      </c>
      <c r="I42" s="172" t="s">
        <v>133</v>
      </c>
      <c r="J42" s="172"/>
      <c r="K42" s="1"/>
    </row>
    <row r="43" spans="2:11" x14ac:dyDescent="0.3">
      <c r="B43" s="2">
        <v>1529</v>
      </c>
      <c r="C43" s="172" t="s">
        <v>111</v>
      </c>
      <c r="D43" s="172"/>
      <c r="E43" s="20">
        <v>252000000</v>
      </c>
      <c r="H43" s="2">
        <v>2999</v>
      </c>
      <c r="I43" s="172" t="s">
        <v>134</v>
      </c>
      <c r="J43" s="172"/>
      <c r="K43" s="1"/>
    </row>
    <row r="44" spans="2:11" x14ac:dyDescent="0.3">
      <c r="B44" s="2">
        <v>1530</v>
      </c>
      <c r="C44" s="172" t="s">
        <v>110</v>
      </c>
      <c r="D44" s="172"/>
      <c r="E44" s="20">
        <v>63000000</v>
      </c>
      <c r="H44" s="16"/>
      <c r="I44" s="177" t="s">
        <v>135</v>
      </c>
      <c r="J44" s="177"/>
      <c r="K44" s="17"/>
    </row>
    <row r="45" spans="2:11" x14ac:dyDescent="0.3">
      <c r="B45" s="2">
        <v>1541</v>
      </c>
      <c r="C45" s="172" t="s">
        <v>112</v>
      </c>
      <c r="D45" s="172"/>
      <c r="E45" s="20"/>
      <c r="H45" s="2">
        <v>3102</v>
      </c>
      <c r="I45" s="172" t="s">
        <v>136</v>
      </c>
      <c r="J45" s="172"/>
      <c r="K45" s="20">
        <v>1523600000</v>
      </c>
    </row>
    <row r="46" spans="2:11" x14ac:dyDescent="0.3">
      <c r="B46" s="2">
        <v>1599</v>
      </c>
      <c r="C46" s="172" t="s">
        <v>113</v>
      </c>
      <c r="D46" s="172"/>
      <c r="E46" s="20"/>
      <c r="H46" s="2">
        <v>3120</v>
      </c>
      <c r="I46" s="172" t="s">
        <v>137</v>
      </c>
      <c r="J46" s="172"/>
      <c r="K46" s="20"/>
    </row>
    <row r="47" spans="2:11" x14ac:dyDescent="0.3">
      <c r="B47" s="2">
        <v>1600</v>
      </c>
      <c r="C47" s="172" t="s">
        <v>114</v>
      </c>
      <c r="D47" s="172"/>
      <c r="E47" s="20"/>
      <c r="H47" s="2">
        <v>3200</v>
      </c>
      <c r="I47" s="172" t="s">
        <v>138</v>
      </c>
      <c r="J47" s="172"/>
      <c r="K47" s="20"/>
    </row>
    <row r="48" spans="2:11" x14ac:dyDescent="0.3">
      <c r="B48" s="2">
        <v>1611</v>
      </c>
      <c r="C48" s="172" t="s">
        <v>115</v>
      </c>
      <c r="D48" s="172"/>
      <c r="E48" s="20"/>
      <c r="H48" s="2">
        <v>3298</v>
      </c>
      <c r="I48" s="172" t="s">
        <v>139</v>
      </c>
      <c r="J48" s="172"/>
      <c r="K48" s="20"/>
    </row>
    <row r="49" spans="2:11" x14ac:dyDescent="0.3">
      <c r="B49" s="2">
        <v>1698</v>
      </c>
      <c r="C49" s="172" t="s">
        <v>116</v>
      </c>
      <c r="D49" s="172"/>
      <c r="E49" s="20"/>
      <c r="H49" s="2">
        <v>3299</v>
      </c>
      <c r="I49" s="172" t="s">
        <v>140</v>
      </c>
      <c r="J49" s="172"/>
      <c r="K49" s="20"/>
    </row>
    <row r="50" spans="2:11" x14ac:dyDescent="0.3">
      <c r="B50" s="2">
        <v>1700</v>
      </c>
      <c r="C50" s="176" t="s">
        <v>117</v>
      </c>
      <c r="D50" s="176"/>
      <c r="E50" s="71">
        <f>E27+E38+E43-E44</f>
        <v>1523600000</v>
      </c>
      <c r="H50" s="2">
        <v>3300</v>
      </c>
      <c r="I50" s="176" t="s">
        <v>141</v>
      </c>
      <c r="J50" s="176"/>
      <c r="K50" s="71">
        <f>K45</f>
        <v>1523600000</v>
      </c>
    </row>
    <row r="51" spans="2:11" x14ac:dyDescent="0.3">
      <c r="B51" s="6"/>
    </row>
    <row r="52" spans="2:11" x14ac:dyDescent="0.3">
      <c r="B52" s="6"/>
    </row>
  </sheetData>
  <mergeCells count="55">
    <mergeCell ref="I47:J47"/>
    <mergeCell ref="I48:J48"/>
    <mergeCell ref="I49:J49"/>
    <mergeCell ref="I50:J50"/>
    <mergeCell ref="I42:J42"/>
    <mergeCell ref="I43:J43"/>
    <mergeCell ref="I44:J44"/>
    <mergeCell ref="I45:J45"/>
    <mergeCell ref="I46:J46"/>
    <mergeCell ref="I37:J37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I27:J27"/>
    <mergeCell ref="I28:J28"/>
    <mergeCell ref="I29:J29"/>
    <mergeCell ref="I30:J30"/>
    <mergeCell ref="I31:J31"/>
    <mergeCell ref="C2:C3"/>
    <mergeCell ref="K2:K3"/>
    <mergeCell ref="B22:K22"/>
    <mergeCell ref="C24:E25"/>
    <mergeCell ref="C26:D26"/>
    <mergeCell ref="I24:K25"/>
    <mergeCell ref="I26:J26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DBBB-BC09-4CCD-8051-63863C2ECD57}">
  <dimension ref="A1:G23"/>
  <sheetViews>
    <sheetView zoomScale="85" workbookViewId="0">
      <selection activeCell="E44" sqref="E44"/>
    </sheetView>
  </sheetViews>
  <sheetFormatPr defaultRowHeight="14.4" x14ac:dyDescent="0.3"/>
  <cols>
    <col min="1" max="1" width="7.44140625" customWidth="1"/>
    <col min="3" max="3" width="17.6640625" customWidth="1"/>
    <col min="4" max="4" width="23.33203125" customWidth="1"/>
    <col min="5" max="5" width="17.6640625" customWidth="1"/>
    <col min="6" max="6" width="12.5546875" customWidth="1"/>
    <col min="7" max="7" width="19.5546875" customWidth="1"/>
  </cols>
  <sheetData>
    <row r="1" spans="1:7" x14ac:dyDescent="0.3">
      <c r="A1" t="s">
        <v>0</v>
      </c>
      <c r="B1" t="s">
        <v>142</v>
      </c>
    </row>
    <row r="2" spans="1:7" x14ac:dyDescent="0.3">
      <c r="B2" s="16" t="s">
        <v>31</v>
      </c>
      <c r="C2" s="16" t="s">
        <v>143</v>
      </c>
      <c r="D2" s="16" t="s">
        <v>144</v>
      </c>
      <c r="E2" s="16" t="s">
        <v>145</v>
      </c>
      <c r="F2" s="16" t="s">
        <v>146</v>
      </c>
      <c r="G2" s="16" t="s">
        <v>36</v>
      </c>
    </row>
    <row r="3" spans="1:7" x14ac:dyDescent="0.3">
      <c r="B3" s="1"/>
      <c r="C3" s="1"/>
      <c r="D3" s="1"/>
      <c r="E3" s="1"/>
      <c r="F3" s="1"/>
      <c r="G3" s="1"/>
    </row>
    <row r="4" spans="1:7" x14ac:dyDescent="0.3">
      <c r="B4" s="1"/>
      <c r="C4" s="1"/>
      <c r="D4" s="1"/>
      <c r="E4" s="1"/>
      <c r="F4" s="1"/>
      <c r="G4" s="1"/>
    </row>
    <row r="5" spans="1:7" x14ac:dyDescent="0.3">
      <c r="B5" s="1"/>
      <c r="C5" s="1"/>
      <c r="D5" s="1"/>
      <c r="E5" s="1"/>
      <c r="F5" s="1"/>
      <c r="G5" s="1"/>
    </row>
    <row r="6" spans="1:7" x14ac:dyDescent="0.3">
      <c r="B6" s="1"/>
      <c r="C6" s="1"/>
      <c r="D6" s="1"/>
      <c r="E6" s="1"/>
      <c r="F6" s="1"/>
      <c r="G6" s="1"/>
    </row>
    <row r="7" spans="1:7" x14ac:dyDescent="0.3">
      <c r="B7" s="1"/>
      <c r="C7" s="1"/>
      <c r="D7" s="1"/>
      <c r="E7" s="1"/>
      <c r="F7" s="1"/>
      <c r="G7" s="1"/>
    </row>
    <row r="8" spans="1:7" x14ac:dyDescent="0.3">
      <c r="B8" s="1"/>
      <c r="C8" s="1"/>
      <c r="D8" s="1"/>
      <c r="E8" s="1"/>
      <c r="F8" s="1"/>
      <c r="G8" s="1"/>
    </row>
    <row r="9" spans="1:7" x14ac:dyDescent="0.3">
      <c r="B9" s="1"/>
      <c r="C9" s="1"/>
      <c r="D9" s="1"/>
      <c r="E9" s="1"/>
      <c r="F9" s="1"/>
      <c r="G9" s="1"/>
    </row>
    <row r="10" spans="1:7" x14ac:dyDescent="0.3">
      <c r="B10" s="1"/>
      <c r="C10" s="1"/>
      <c r="D10" s="1"/>
      <c r="E10" s="1"/>
      <c r="F10" s="1"/>
      <c r="G10" s="1"/>
    </row>
    <row r="11" spans="1:7" x14ac:dyDescent="0.3">
      <c r="B11" s="1"/>
      <c r="C11" s="1"/>
      <c r="D11" s="1"/>
      <c r="E11" s="1"/>
      <c r="F11" s="1"/>
      <c r="G11" s="1"/>
    </row>
    <row r="12" spans="1:7" x14ac:dyDescent="0.3">
      <c r="B12" s="1"/>
      <c r="C12" s="1"/>
      <c r="D12" s="1"/>
      <c r="E12" s="1"/>
      <c r="F12" s="1"/>
      <c r="G12" s="1"/>
    </row>
    <row r="13" spans="1:7" x14ac:dyDescent="0.3">
      <c r="B13" s="186" t="s">
        <v>51</v>
      </c>
      <c r="C13" s="187"/>
      <c r="D13" s="188"/>
      <c r="E13" s="1"/>
      <c r="F13" s="12"/>
      <c r="G13" s="1"/>
    </row>
    <row r="14" spans="1:7" x14ac:dyDescent="0.3">
      <c r="B14" s="189" t="s">
        <v>147</v>
      </c>
      <c r="C14" s="189"/>
      <c r="D14" s="189"/>
      <c r="E14" s="189"/>
      <c r="F14" s="189"/>
      <c r="G14" s="189"/>
    </row>
    <row r="15" spans="1:7" x14ac:dyDescent="0.3">
      <c r="A15" t="s">
        <v>52</v>
      </c>
      <c r="B15" t="s">
        <v>148</v>
      </c>
    </row>
    <row r="16" spans="1:7" x14ac:dyDescent="0.3">
      <c r="B16" s="16" t="s">
        <v>31</v>
      </c>
      <c r="C16" s="16" t="s">
        <v>3</v>
      </c>
      <c r="D16" s="190" t="s">
        <v>48</v>
      </c>
      <c r="E16" s="190"/>
      <c r="F16" s="190" t="s">
        <v>36</v>
      </c>
      <c r="G16" s="190"/>
    </row>
    <row r="17" spans="2:7" x14ac:dyDescent="0.3">
      <c r="B17" s="1"/>
      <c r="C17" s="1"/>
      <c r="D17" s="173"/>
      <c r="E17" s="173"/>
      <c r="F17" s="173"/>
      <c r="G17" s="173"/>
    </row>
    <row r="18" spans="2:7" x14ac:dyDescent="0.3">
      <c r="B18" s="1"/>
      <c r="C18" s="1"/>
      <c r="D18" s="173"/>
      <c r="E18" s="173"/>
      <c r="F18" s="173"/>
      <c r="G18" s="173"/>
    </row>
    <row r="19" spans="2:7" x14ac:dyDescent="0.3">
      <c r="B19" s="1"/>
      <c r="C19" s="1"/>
      <c r="D19" s="173"/>
      <c r="E19" s="173"/>
      <c r="F19" s="173"/>
      <c r="G19" s="173"/>
    </row>
    <row r="20" spans="2:7" x14ac:dyDescent="0.3">
      <c r="B20" s="1"/>
      <c r="C20" s="1"/>
      <c r="D20" s="173"/>
      <c r="E20" s="173"/>
      <c r="F20" s="173"/>
      <c r="G20" s="173"/>
    </row>
    <row r="21" spans="2:7" x14ac:dyDescent="0.3">
      <c r="B21" s="1"/>
      <c r="C21" s="1"/>
      <c r="D21" s="173"/>
      <c r="E21" s="173"/>
      <c r="F21" s="173"/>
      <c r="G21" s="173"/>
    </row>
    <row r="22" spans="2:7" x14ac:dyDescent="0.3">
      <c r="B22" s="190" t="s">
        <v>56</v>
      </c>
      <c r="C22" s="190"/>
      <c r="D22" s="190"/>
      <c r="E22" s="190"/>
      <c r="F22" s="173"/>
      <c r="G22" s="173"/>
    </row>
    <row r="23" spans="2:7" x14ac:dyDescent="0.3">
      <c r="B23" s="189" t="s">
        <v>149</v>
      </c>
      <c r="C23" s="189"/>
      <c r="D23" s="189"/>
      <c r="E23" s="189"/>
      <c r="F23" s="189"/>
      <c r="G23" s="189"/>
    </row>
  </sheetData>
  <mergeCells count="17">
    <mergeCell ref="B22:E22"/>
    <mergeCell ref="F22:G22"/>
    <mergeCell ref="B23:G23"/>
    <mergeCell ref="D21:E21"/>
    <mergeCell ref="F17:G17"/>
    <mergeCell ref="F20:G20"/>
    <mergeCell ref="F21:G21"/>
    <mergeCell ref="D18:E18"/>
    <mergeCell ref="D19:E19"/>
    <mergeCell ref="F18:G18"/>
    <mergeCell ref="F19:G19"/>
    <mergeCell ref="D20:E20"/>
    <mergeCell ref="B13:D13"/>
    <mergeCell ref="B14:G14"/>
    <mergeCell ref="D16:E16"/>
    <mergeCell ref="F16:G16"/>
    <mergeCell ref="D17:E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6700-D774-49E5-B4F8-F3E998934AFC}">
  <dimension ref="B2:Q63"/>
  <sheetViews>
    <sheetView topLeftCell="A16" zoomScale="81" zoomScaleNormal="81" workbookViewId="0">
      <selection activeCell="G28" sqref="G28"/>
    </sheetView>
  </sheetViews>
  <sheetFormatPr defaultRowHeight="14.4" x14ac:dyDescent="0.3"/>
  <cols>
    <col min="2" max="2" width="4.5546875" customWidth="1"/>
    <col min="3" max="3" width="18.33203125" customWidth="1"/>
    <col min="4" max="4" width="16.44140625" customWidth="1"/>
    <col min="5" max="5" width="14.88671875" customWidth="1"/>
    <col min="6" max="6" width="17.109375" customWidth="1"/>
    <col min="7" max="7" width="16.88671875" customWidth="1"/>
    <col min="8" max="8" width="16.5546875" customWidth="1"/>
    <col min="9" max="9" width="17" customWidth="1"/>
    <col min="10" max="10" width="15.6640625" customWidth="1"/>
    <col min="11" max="11" width="17.88671875" customWidth="1"/>
    <col min="12" max="12" width="16.6640625" customWidth="1"/>
    <col min="13" max="13" width="17.44140625" customWidth="1"/>
    <col min="14" max="14" width="16.109375" customWidth="1"/>
    <col min="15" max="15" width="17.109375" customWidth="1"/>
    <col min="16" max="16" width="18.44140625" customWidth="1"/>
    <col min="17" max="17" width="18.33203125" customWidth="1"/>
  </cols>
  <sheetData>
    <row r="2" spans="2:17" ht="15" customHeight="1" x14ac:dyDescent="0.3">
      <c r="B2" s="205" t="s">
        <v>377</v>
      </c>
      <c r="C2" s="206"/>
      <c r="D2" s="207"/>
      <c r="E2" s="24"/>
      <c r="F2" s="208" t="s">
        <v>376</v>
      </c>
      <c r="G2" s="208"/>
      <c r="H2" s="208"/>
      <c r="I2" s="208"/>
      <c r="J2" s="208"/>
      <c r="K2" s="208"/>
      <c r="L2" s="208"/>
      <c r="M2" s="25"/>
      <c r="N2" s="218" t="s">
        <v>375</v>
      </c>
      <c r="O2" s="218"/>
      <c r="P2" s="218"/>
      <c r="Q2" s="24"/>
    </row>
    <row r="3" spans="2:17" ht="15" customHeight="1" x14ac:dyDescent="0.3">
      <c r="B3" s="209" t="s">
        <v>378</v>
      </c>
      <c r="C3" s="210"/>
      <c r="D3" s="211"/>
      <c r="E3" s="24"/>
      <c r="F3" s="208"/>
      <c r="G3" s="208"/>
      <c r="H3" s="208"/>
      <c r="I3" s="208"/>
      <c r="J3" s="208"/>
      <c r="K3" s="208"/>
      <c r="L3" s="208"/>
      <c r="M3" s="25"/>
      <c r="N3" s="218"/>
      <c r="O3" s="218"/>
      <c r="P3" s="218"/>
      <c r="Q3" s="24"/>
    </row>
    <row r="4" spans="2:17" ht="15" customHeight="1" x14ac:dyDescent="0.3">
      <c r="B4" s="212"/>
      <c r="C4" s="213"/>
      <c r="D4" s="214"/>
      <c r="E4" s="24"/>
      <c r="F4" s="208"/>
      <c r="G4" s="208"/>
      <c r="H4" s="208"/>
      <c r="I4" s="208"/>
      <c r="J4" s="208"/>
      <c r="K4" s="208"/>
      <c r="L4" s="208"/>
      <c r="M4" s="25"/>
      <c r="N4" s="218"/>
      <c r="O4" s="218"/>
      <c r="P4" s="218"/>
      <c r="Q4" s="24"/>
    </row>
    <row r="5" spans="2:17" x14ac:dyDescent="0.3">
      <c r="B5" s="215"/>
      <c r="C5" s="216"/>
      <c r="D5" s="217"/>
      <c r="E5" s="24"/>
      <c r="F5" s="26" t="s">
        <v>374</v>
      </c>
      <c r="G5" s="204"/>
      <c r="H5" s="204"/>
      <c r="I5" s="204"/>
      <c r="J5" s="204"/>
      <c r="K5" s="204"/>
      <c r="L5" s="204"/>
      <c r="M5" s="24"/>
      <c r="N5" s="1" t="s">
        <v>326</v>
      </c>
      <c r="O5" s="138"/>
      <c r="P5" s="139"/>
      <c r="Q5" s="24"/>
    </row>
    <row r="8" spans="2:17" x14ac:dyDescent="0.3">
      <c r="B8" s="219" t="s">
        <v>373</v>
      </c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</row>
    <row r="9" spans="2:17" x14ac:dyDescent="0.3">
      <c r="B9" s="220" t="s">
        <v>31</v>
      </c>
      <c r="C9" s="220"/>
      <c r="D9" s="220" t="s">
        <v>367</v>
      </c>
      <c r="E9" s="220"/>
      <c r="F9" s="220" t="s">
        <v>333</v>
      </c>
      <c r="G9" s="220"/>
      <c r="H9" s="220" t="s">
        <v>368</v>
      </c>
      <c r="I9" s="220"/>
      <c r="J9" s="220" t="s">
        <v>369</v>
      </c>
      <c r="K9" s="220"/>
      <c r="L9" s="220" t="s">
        <v>370</v>
      </c>
      <c r="M9" s="220"/>
      <c r="N9" s="220" t="s">
        <v>371</v>
      </c>
      <c r="O9" s="220"/>
      <c r="P9" s="220" t="s">
        <v>372</v>
      </c>
      <c r="Q9" s="220"/>
    </row>
    <row r="10" spans="2:17" x14ac:dyDescent="0.3">
      <c r="B10" s="203">
        <v>1</v>
      </c>
      <c r="C10" s="203"/>
      <c r="D10" s="203">
        <v>2</v>
      </c>
      <c r="E10" s="203"/>
      <c r="F10" s="203">
        <v>3</v>
      </c>
      <c r="G10" s="203"/>
      <c r="H10" s="203">
        <v>4</v>
      </c>
      <c r="I10" s="203"/>
      <c r="J10" s="203">
        <v>5</v>
      </c>
      <c r="K10" s="203"/>
      <c r="L10" s="203">
        <v>6</v>
      </c>
      <c r="M10" s="203"/>
      <c r="N10" s="203">
        <v>7</v>
      </c>
      <c r="O10" s="203"/>
      <c r="P10" s="203">
        <v>8</v>
      </c>
      <c r="Q10" s="203"/>
    </row>
    <row r="11" spans="2:17" x14ac:dyDescent="0.3"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</row>
    <row r="12" spans="2:17" x14ac:dyDescent="0.3"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2:17" x14ac:dyDescent="0.3"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</row>
    <row r="14" spans="2:17" x14ac:dyDescent="0.3"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</row>
    <row r="17" spans="2:17" x14ac:dyDescent="0.3">
      <c r="B17" s="198" t="s">
        <v>366</v>
      </c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</row>
    <row r="18" spans="2:17" x14ac:dyDescent="0.3">
      <c r="B18" s="27" t="s">
        <v>31</v>
      </c>
      <c r="C18" s="199" t="s">
        <v>333</v>
      </c>
      <c r="D18" s="200"/>
      <c r="E18" s="27" t="s">
        <v>334</v>
      </c>
      <c r="F18" s="27" t="s">
        <v>335</v>
      </c>
      <c r="G18" s="27" t="s">
        <v>336</v>
      </c>
      <c r="H18" s="27" t="s">
        <v>337</v>
      </c>
      <c r="I18" s="27" t="s">
        <v>338</v>
      </c>
      <c r="J18" s="27" t="s">
        <v>339</v>
      </c>
      <c r="K18" s="27" t="s">
        <v>340</v>
      </c>
      <c r="L18" s="27" t="s">
        <v>341</v>
      </c>
      <c r="M18" s="27" t="s">
        <v>342</v>
      </c>
      <c r="N18" s="27" t="s">
        <v>343</v>
      </c>
      <c r="O18" s="27" t="s">
        <v>344</v>
      </c>
      <c r="P18" s="27" t="s">
        <v>345</v>
      </c>
      <c r="Q18" s="27" t="s">
        <v>346</v>
      </c>
    </row>
    <row r="19" spans="2:17" x14ac:dyDescent="0.3">
      <c r="B19" s="23">
        <v>1</v>
      </c>
      <c r="C19" s="201">
        <v>2</v>
      </c>
      <c r="D19" s="202"/>
      <c r="E19" s="23">
        <v>4</v>
      </c>
      <c r="F19" s="23">
        <v>5</v>
      </c>
      <c r="G19" s="23">
        <v>6</v>
      </c>
      <c r="H19" s="23">
        <v>7</v>
      </c>
      <c r="I19" s="23">
        <v>8</v>
      </c>
      <c r="J19" s="23">
        <v>9</v>
      </c>
      <c r="K19" s="23">
        <v>10</v>
      </c>
      <c r="L19" s="23">
        <v>11</v>
      </c>
      <c r="M19" s="23">
        <v>12</v>
      </c>
      <c r="N19" s="23">
        <v>13</v>
      </c>
      <c r="O19" s="23">
        <v>14</v>
      </c>
      <c r="P19" s="23">
        <v>15</v>
      </c>
      <c r="Q19" s="23">
        <v>16</v>
      </c>
    </row>
    <row r="20" spans="2:17" x14ac:dyDescent="0.3">
      <c r="B20" s="1">
        <v>1</v>
      </c>
      <c r="C20" s="138"/>
      <c r="D20" s="13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2:17" x14ac:dyDescent="0.3">
      <c r="B21" s="1"/>
      <c r="C21" s="138"/>
      <c r="D21" s="13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x14ac:dyDescent="0.3">
      <c r="B22" s="1"/>
      <c r="C22" s="138"/>
      <c r="D22" s="13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x14ac:dyDescent="0.3">
      <c r="B23" s="1"/>
      <c r="C23" s="138"/>
      <c r="D23" s="13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 x14ac:dyDescent="0.3">
      <c r="B24" s="1"/>
      <c r="C24" s="138"/>
      <c r="D24" s="13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 ht="14.4" customHeight="1" x14ac:dyDescent="0.3">
      <c r="B25" s="29" t="s">
        <v>190</v>
      </c>
      <c r="C25" s="192" t="s">
        <v>349</v>
      </c>
      <c r="D25" s="192"/>
      <c r="E25" s="31">
        <f>E20</f>
        <v>0</v>
      </c>
      <c r="F25" s="31">
        <f t="shared" ref="F25:P25" si="0">F20</f>
        <v>0</v>
      </c>
      <c r="G25" s="31">
        <f t="shared" si="0"/>
        <v>0</v>
      </c>
      <c r="H25" s="31">
        <f t="shared" si="0"/>
        <v>0</v>
      </c>
      <c r="I25" s="31">
        <f t="shared" si="0"/>
        <v>0</v>
      </c>
      <c r="J25" s="31">
        <f t="shared" si="0"/>
        <v>0</v>
      </c>
      <c r="K25" s="31">
        <f t="shared" si="0"/>
        <v>0</v>
      </c>
      <c r="L25" s="31">
        <f t="shared" si="0"/>
        <v>0</v>
      </c>
      <c r="M25" s="31">
        <f t="shared" si="0"/>
        <v>0</v>
      </c>
      <c r="N25" s="31">
        <f t="shared" si="0"/>
        <v>0</v>
      </c>
      <c r="O25" s="31">
        <f t="shared" si="0"/>
        <v>0</v>
      </c>
      <c r="P25" s="31">
        <f t="shared" si="0"/>
        <v>0</v>
      </c>
      <c r="Q25" s="21">
        <f>Q20</f>
        <v>0</v>
      </c>
    </row>
    <row r="26" spans="2:17" ht="14.4" customHeight="1" x14ac:dyDescent="0.3">
      <c r="B26" s="29" t="s">
        <v>245</v>
      </c>
      <c r="C26" s="192" t="s">
        <v>363</v>
      </c>
      <c r="D26" s="192"/>
      <c r="E26" s="31">
        <f>E25</f>
        <v>0</v>
      </c>
      <c r="F26" s="21">
        <f>E26+F25</f>
        <v>0</v>
      </c>
      <c r="G26" s="21">
        <f>F26+G25</f>
        <v>0</v>
      </c>
      <c r="H26" s="21">
        <f t="shared" ref="H26" si="1">G26+H25</f>
        <v>0</v>
      </c>
      <c r="I26" s="21">
        <f t="shared" ref="I26" si="2">H26+I25</f>
        <v>0</v>
      </c>
      <c r="J26" s="21">
        <f t="shared" ref="J26" si="3">I26+J25</f>
        <v>0</v>
      </c>
      <c r="K26" s="21">
        <f t="shared" ref="K26" si="4">J26+K25</f>
        <v>0</v>
      </c>
      <c r="L26" s="21">
        <f t="shared" ref="L26" si="5">K26+L25</f>
        <v>0</v>
      </c>
      <c r="M26" s="21">
        <f t="shared" ref="M26" si="6">L26+M25</f>
        <v>0</v>
      </c>
      <c r="N26" s="21">
        <f t="shared" ref="N26" si="7">M26+N25</f>
        <v>0</v>
      </c>
      <c r="O26" s="21">
        <f t="shared" ref="O26" si="8">N26+O25</f>
        <v>0</v>
      </c>
      <c r="P26" s="21">
        <f t="shared" ref="P26" si="9">O26+P25</f>
        <v>0</v>
      </c>
      <c r="Q26" s="21">
        <f>Q25</f>
        <v>0</v>
      </c>
    </row>
    <row r="27" spans="2:17" ht="30" customHeight="1" x14ac:dyDescent="0.3">
      <c r="B27" s="29" t="s">
        <v>219</v>
      </c>
      <c r="C27" s="192" t="s">
        <v>362</v>
      </c>
      <c r="D27" s="192"/>
      <c r="E27" s="193">
        <v>500000000</v>
      </c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5"/>
      <c r="Q27" s="1"/>
    </row>
    <row r="28" spans="2:17" ht="14.4" customHeight="1" x14ac:dyDescent="0.3">
      <c r="B28" s="29" t="s">
        <v>292</v>
      </c>
      <c r="C28" s="192" t="s">
        <v>361</v>
      </c>
      <c r="D28" s="192"/>
      <c r="E28" s="30">
        <v>0</v>
      </c>
      <c r="F28" s="1">
        <v>0</v>
      </c>
      <c r="G28" s="21">
        <f>G26-E27</f>
        <v>-500000000</v>
      </c>
      <c r="H28" s="21">
        <f>H25</f>
        <v>0</v>
      </c>
      <c r="I28" s="21">
        <f>I25</f>
        <v>0</v>
      </c>
      <c r="J28" s="21">
        <f t="shared" ref="J28:P28" si="10">J25</f>
        <v>0</v>
      </c>
      <c r="K28" s="21">
        <f t="shared" si="10"/>
        <v>0</v>
      </c>
      <c r="L28" s="21">
        <f t="shared" si="10"/>
        <v>0</v>
      </c>
      <c r="M28" s="21">
        <f t="shared" si="10"/>
        <v>0</v>
      </c>
      <c r="N28" s="21">
        <f t="shared" si="10"/>
        <v>0</v>
      </c>
      <c r="O28" s="21">
        <f t="shared" si="10"/>
        <v>0</v>
      </c>
      <c r="P28" s="21">
        <f t="shared" si="10"/>
        <v>0</v>
      </c>
      <c r="Q28" s="20">
        <f>SUM(E28:P28)</f>
        <v>-500000000</v>
      </c>
    </row>
    <row r="29" spans="2:17" ht="30" customHeight="1" x14ac:dyDescent="0.3">
      <c r="B29" s="29" t="s">
        <v>295</v>
      </c>
      <c r="C29" s="192" t="s">
        <v>360</v>
      </c>
      <c r="D29" s="192"/>
      <c r="E29" s="32">
        <f>(0.5%*E28)</f>
        <v>0</v>
      </c>
      <c r="F29" s="32">
        <f t="shared" ref="F29:P29" si="11">(0.5%*F28)</f>
        <v>0</v>
      </c>
      <c r="G29" s="32">
        <f t="shared" si="11"/>
        <v>-2500000</v>
      </c>
      <c r="H29" s="32">
        <f t="shared" si="11"/>
        <v>0</v>
      </c>
      <c r="I29" s="32">
        <f t="shared" si="11"/>
        <v>0</v>
      </c>
      <c r="J29" s="32">
        <f t="shared" si="11"/>
        <v>0</v>
      </c>
      <c r="K29" s="32">
        <f t="shared" si="11"/>
        <v>0</v>
      </c>
      <c r="L29" s="32">
        <f t="shared" si="11"/>
        <v>0</v>
      </c>
      <c r="M29" s="32">
        <f t="shared" si="11"/>
        <v>0</v>
      </c>
      <c r="N29" s="32">
        <f t="shared" si="11"/>
        <v>0</v>
      </c>
      <c r="O29" s="32">
        <f t="shared" si="11"/>
        <v>0</v>
      </c>
      <c r="P29" s="32">
        <f t="shared" si="11"/>
        <v>0</v>
      </c>
      <c r="Q29" s="33">
        <f>SUM(E29:P29)</f>
        <v>-2500000</v>
      </c>
    </row>
    <row r="30" spans="2:17" ht="30" customHeight="1" x14ac:dyDescent="0.3">
      <c r="B30" s="29" t="s">
        <v>298</v>
      </c>
      <c r="C30" s="192" t="s">
        <v>364</v>
      </c>
      <c r="D30" s="192"/>
      <c r="E30" s="3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ht="33.75" customHeight="1" x14ac:dyDescent="0.3">
      <c r="B31" s="29" t="s">
        <v>303</v>
      </c>
      <c r="C31" s="192" t="s">
        <v>359</v>
      </c>
      <c r="D31" s="192"/>
      <c r="E31" s="3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ht="15" customHeight="1" x14ac:dyDescent="0.3">
      <c r="B32" s="29" t="s">
        <v>307</v>
      </c>
      <c r="C32" s="192" t="s">
        <v>358</v>
      </c>
      <c r="D32" s="192"/>
      <c r="E32" s="3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ht="19.5" customHeight="1" x14ac:dyDescent="0.3">
      <c r="B33" s="29" t="s">
        <v>356</v>
      </c>
      <c r="C33" s="192" t="s">
        <v>357</v>
      </c>
      <c r="D33" s="192"/>
      <c r="E33" s="30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"/>
    </row>
    <row r="34" spans="2:17" ht="20.25" customHeight="1" x14ac:dyDescent="0.3">
      <c r="B34" s="29" t="s">
        <v>354</v>
      </c>
      <c r="C34" s="192" t="s">
        <v>355</v>
      </c>
      <c r="D34" s="192"/>
      <c r="E34" s="30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"/>
    </row>
    <row r="35" spans="2:17" ht="33" customHeight="1" x14ac:dyDescent="0.3">
      <c r="B35" s="196" t="s">
        <v>365</v>
      </c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</row>
    <row r="38" spans="2:17" x14ac:dyDescent="0.3">
      <c r="B38" s="225" t="s">
        <v>351</v>
      </c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</row>
    <row r="39" spans="2:17" ht="28.8" x14ac:dyDescent="0.3">
      <c r="B39" s="27" t="s">
        <v>31</v>
      </c>
      <c r="C39" s="27" t="s">
        <v>333</v>
      </c>
      <c r="D39" s="28" t="s">
        <v>153</v>
      </c>
      <c r="E39" s="27" t="s">
        <v>334</v>
      </c>
      <c r="F39" s="27" t="s">
        <v>335</v>
      </c>
      <c r="G39" s="27" t="s">
        <v>336</v>
      </c>
      <c r="H39" s="27" t="s">
        <v>337</v>
      </c>
      <c r="I39" s="27" t="s">
        <v>338</v>
      </c>
      <c r="J39" s="27" t="s">
        <v>339</v>
      </c>
      <c r="K39" s="27" t="s">
        <v>340</v>
      </c>
      <c r="L39" s="27" t="s">
        <v>341</v>
      </c>
      <c r="M39" s="27" t="s">
        <v>342</v>
      </c>
      <c r="N39" s="27" t="s">
        <v>343</v>
      </c>
      <c r="O39" s="27" t="s">
        <v>344</v>
      </c>
      <c r="P39" s="27" t="s">
        <v>345</v>
      </c>
      <c r="Q39" s="27" t="s">
        <v>346</v>
      </c>
    </row>
    <row r="40" spans="2:17" x14ac:dyDescent="0.3">
      <c r="B40" s="23">
        <v>1</v>
      </c>
      <c r="C40" s="23">
        <v>2</v>
      </c>
      <c r="D40" s="23">
        <v>3</v>
      </c>
      <c r="E40" s="23">
        <v>4</v>
      </c>
      <c r="F40" s="23">
        <v>5</v>
      </c>
      <c r="G40" s="23">
        <v>6</v>
      </c>
      <c r="H40" s="23">
        <v>7</v>
      </c>
      <c r="I40" s="23">
        <v>8</v>
      </c>
      <c r="J40" s="23">
        <v>9</v>
      </c>
      <c r="K40" s="23">
        <v>10</v>
      </c>
      <c r="L40" s="23">
        <v>11</v>
      </c>
      <c r="M40" s="23">
        <v>12</v>
      </c>
      <c r="N40" s="23">
        <v>13</v>
      </c>
      <c r="O40" s="23">
        <v>14</v>
      </c>
      <c r="P40" s="23">
        <v>15</v>
      </c>
      <c r="Q40" s="23">
        <v>16</v>
      </c>
    </row>
    <row r="41" spans="2:1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3">
      <c r="B47" s="221" t="s">
        <v>349</v>
      </c>
      <c r="C47" s="221"/>
      <c r="D47" s="22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3">
      <c r="B48" s="221" t="s">
        <v>350</v>
      </c>
      <c r="C48" s="221"/>
      <c r="D48" s="22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ht="42.75" customHeight="1" x14ac:dyDescent="0.3">
      <c r="B49" s="224" t="s">
        <v>353</v>
      </c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</row>
    <row r="52" spans="2:17" x14ac:dyDescent="0.3">
      <c r="B52" s="225" t="s">
        <v>348</v>
      </c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</row>
    <row r="53" spans="2:17" ht="28.8" x14ac:dyDescent="0.3">
      <c r="B53" s="27" t="s">
        <v>31</v>
      </c>
      <c r="C53" s="27" t="s">
        <v>333</v>
      </c>
      <c r="D53" s="28" t="s">
        <v>347</v>
      </c>
      <c r="E53" s="27" t="s">
        <v>334</v>
      </c>
      <c r="F53" s="27" t="s">
        <v>335</v>
      </c>
      <c r="G53" s="27" t="s">
        <v>336</v>
      </c>
      <c r="H53" s="27" t="s">
        <v>337</v>
      </c>
      <c r="I53" s="27" t="s">
        <v>338</v>
      </c>
      <c r="J53" s="27" t="s">
        <v>339</v>
      </c>
      <c r="K53" s="27" t="s">
        <v>340</v>
      </c>
      <c r="L53" s="27" t="s">
        <v>341</v>
      </c>
      <c r="M53" s="27" t="s">
        <v>342</v>
      </c>
      <c r="N53" s="27" t="s">
        <v>343</v>
      </c>
      <c r="O53" s="27" t="s">
        <v>344</v>
      </c>
      <c r="P53" s="27" t="s">
        <v>345</v>
      </c>
      <c r="Q53" s="27" t="s">
        <v>346</v>
      </c>
    </row>
    <row r="54" spans="2:17" x14ac:dyDescent="0.3">
      <c r="B54" s="23">
        <v>1</v>
      </c>
      <c r="C54" s="23">
        <v>2</v>
      </c>
      <c r="D54" s="23">
        <v>3</v>
      </c>
      <c r="E54" s="23">
        <v>4</v>
      </c>
      <c r="F54" s="23">
        <v>5</v>
      </c>
      <c r="G54" s="23">
        <v>6</v>
      </c>
      <c r="H54" s="23">
        <v>7</v>
      </c>
      <c r="I54" s="23">
        <v>8</v>
      </c>
      <c r="J54" s="23">
        <v>9</v>
      </c>
      <c r="K54" s="23">
        <v>10</v>
      </c>
      <c r="L54" s="23">
        <v>11</v>
      </c>
      <c r="M54" s="23">
        <v>12</v>
      </c>
      <c r="N54" s="23">
        <v>13</v>
      </c>
      <c r="O54" s="23">
        <v>14</v>
      </c>
      <c r="P54" s="23">
        <v>15</v>
      </c>
      <c r="Q54" s="23">
        <v>16</v>
      </c>
    </row>
    <row r="55" spans="2:1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3">
      <c r="B61" s="221" t="s">
        <v>349</v>
      </c>
      <c r="C61" s="221"/>
      <c r="D61" s="22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3">
      <c r="B62" s="221" t="s">
        <v>350</v>
      </c>
      <c r="C62" s="221"/>
      <c r="D62" s="22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3">
      <c r="B63" s="222" t="s">
        <v>352</v>
      </c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</row>
  </sheetData>
  <mergeCells count="85">
    <mergeCell ref="B38:Q38"/>
    <mergeCell ref="D10:E10"/>
    <mergeCell ref="F10:G10"/>
    <mergeCell ref="H10:I10"/>
    <mergeCell ref="B47:D47"/>
    <mergeCell ref="L10:M10"/>
    <mergeCell ref="N10:O10"/>
    <mergeCell ref="P10:Q10"/>
    <mergeCell ref="B11:C11"/>
    <mergeCell ref="F11:G11"/>
    <mergeCell ref="J11:K11"/>
    <mergeCell ref="N11:O11"/>
    <mergeCell ref="P11:Q11"/>
    <mergeCell ref="B10:C10"/>
    <mergeCell ref="D11:E11"/>
    <mergeCell ref="D12:E12"/>
    <mergeCell ref="B48:D48"/>
    <mergeCell ref="B63:Q63"/>
    <mergeCell ref="B49:Q49"/>
    <mergeCell ref="B52:Q52"/>
    <mergeCell ref="B61:D61"/>
    <mergeCell ref="B62:D62"/>
    <mergeCell ref="B8:Q8"/>
    <mergeCell ref="B9:C9"/>
    <mergeCell ref="D9:E9"/>
    <mergeCell ref="F9:G9"/>
    <mergeCell ref="H9:I9"/>
    <mergeCell ref="J9:K9"/>
    <mergeCell ref="L9:M9"/>
    <mergeCell ref="N9:O9"/>
    <mergeCell ref="P9:Q9"/>
    <mergeCell ref="G5:L5"/>
    <mergeCell ref="B2:D2"/>
    <mergeCell ref="F2:L4"/>
    <mergeCell ref="B3:D5"/>
    <mergeCell ref="N2:P4"/>
    <mergeCell ref="O5:P5"/>
    <mergeCell ref="D13:E13"/>
    <mergeCell ref="D14:E14"/>
    <mergeCell ref="J10:K10"/>
    <mergeCell ref="L11:M11"/>
    <mergeCell ref="L12:M12"/>
    <mergeCell ref="L13:M13"/>
    <mergeCell ref="L14:M14"/>
    <mergeCell ref="F12:G12"/>
    <mergeCell ref="F13:G13"/>
    <mergeCell ref="F14:G14"/>
    <mergeCell ref="H11:I11"/>
    <mergeCell ref="H12:I12"/>
    <mergeCell ref="H13:I13"/>
    <mergeCell ref="H14:I14"/>
    <mergeCell ref="B35:Q35"/>
    <mergeCell ref="N12:O12"/>
    <mergeCell ref="N13:O13"/>
    <mergeCell ref="N14:O14"/>
    <mergeCell ref="P12:Q12"/>
    <mergeCell ref="P13:Q13"/>
    <mergeCell ref="P14:Q14"/>
    <mergeCell ref="J12:K12"/>
    <mergeCell ref="J13:K13"/>
    <mergeCell ref="J14:K14"/>
    <mergeCell ref="B12:C12"/>
    <mergeCell ref="B13:C13"/>
    <mergeCell ref="B14:C14"/>
    <mergeCell ref="B17:Q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E27:P27"/>
    <mergeCell ref="C28:D28"/>
    <mergeCell ref="F33:P33"/>
    <mergeCell ref="C34:D34"/>
    <mergeCell ref="F34:P34"/>
    <mergeCell ref="C29:D29"/>
    <mergeCell ref="C30:D30"/>
    <mergeCell ref="C31:D31"/>
    <mergeCell ref="C32:D32"/>
    <mergeCell ref="C33:D33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5862-3216-4B40-AC78-DF1776705DA7}">
  <dimension ref="B2:L53"/>
  <sheetViews>
    <sheetView topLeftCell="C1" zoomScale="120" zoomScaleNormal="120" workbookViewId="0">
      <selection activeCell="C7" sqref="A7:XFD7"/>
    </sheetView>
  </sheetViews>
  <sheetFormatPr defaultRowHeight="14.4" x14ac:dyDescent="0.3"/>
  <cols>
    <col min="2" max="2" width="6.5546875" bestFit="1" customWidth="1"/>
    <col min="3" max="3" width="24.88671875" bestFit="1" customWidth="1"/>
    <col min="4" max="4" width="4.44140625" customWidth="1"/>
    <col min="5" max="5" width="22.109375" customWidth="1"/>
    <col min="6" max="6" width="8.5546875" bestFit="1" customWidth="1"/>
    <col min="7" max="7" width="20.88671875" customWidth="1"/>
    <col min="8" max="8" width="22.109375" customWidth="1"/>
    <col min="9" max="9" width="16.5546875" customWidth="1"/>
    <col min="10" max="10" width="12.5546875" customWidth="1"/>
    <col min="11" max="11" width="23.6640625" customWidth="1"/>
    <col min="12" max="12" width="14.77734375" customWidth="1"/>
  </cols>
  <sheetData>
    <row r="2" spans="2:12" ht="39" customHeight="1" x14ac:dyDescent="0.3">
      <c r="B2" s="229" t="s">
        <v>460</v>
      </c>
      <c r="C2" s="233" t="s">
        <v>461</v>
      </c>
      <c r="D2" s="234"/>
      <c r="E2" s="235"/>
      <c r="F2" s="229" t="s">
        <v>462</v>
      </c>
      <c r="G2" s="229" t="s">
        <v>463</v>
      </c>
      <c r="H2" s="229" t="s">
        <v>464</v>
      </c>
      <c r="I2" s="239" t="s">
        <v>465</v>
      </c>
      <c r="J2" s="228"/>
      <c r="K2" s="229" t="s">
        <v>466</v>
      </c>
      <c r="L2" s="229" t="s">
        <v>11</v>
      </c>
    </row>
    <row r="3" spans="2:12" x14ac:dyDescent="0.3">
      <c r="B3" s="231"/>
      <c r="C3" s="236"/>
      <c r="D3" s="237"/>
      <c r="E3" s="238"/>
      <c r="F3" s="231"/>
      <c r="G3" s="231"/>
      <c r="H3" s="231"/>
      <c r="I3" s="75" t="s">
        <v>63</v>
      </c>
      <c r="J3" s="75" t="s">
        <v>467</v>
      </c>
      <c r="K3" s="230"/>
      <c r="L3" s="231"/>
    </row>
    <row r="4" spans="2:12" x14ac:dyDescent="0.3">
      <c r="B4" s="75">
        <v>1</v>
      </c>
      <c r="C4" s="232">
        <v>2</v>
      </c>
      <c r="D4" s="227"/>
      <c r="E4" s="228"/>
      <c r="F4" s="75">
        <v>3</v>
      </c>
      <c r="G4" s="75">
        <v>4</v>
      </c>
      <c r="H4" s="75">
        <v>5</v>
      </c>
      <c r="I4" s="75">
        <v>6</v>
      </c>
      <c r="J4" s="75">
        <v>7</v>
      </c>
      <c r="K4" s="75">
        <v>8</v>
      </c>
      <c r="L4" s="75">
        <v>9</v>
      </c>
    </row>
    <row r="5" spans="2:12" x14ac:dyDescent="0.3">
      <c r="B5" s="76"/>
      <c r="C5" s="77" t="s">
        <v>468</v>
      </c>
      <c r="E5" s="78"/>
      <c r="F5" s="76"/>
      <c r="G5" s="76"/>
      <c r="H5" s="76"/>
      <c r="I5" s="76"/>
      <c r="J5" s="76"/>
      <c r="K5" s="76"/>
      <c r="L5" s="76"/>
    </row>
    <row r="6" spans="2:12" x14ac:dyDescent="0.3">
      <c r="B6" s="76"/>
      <c r="C6" s="77"/>
      <c r="D6" s="79" t="s">
        <v>469</v>
      </c>
      <c r="E6" s="78"/>
      <c r="F6" s="76"/>
      <c r="G6" s="76"/>
      <c r="H6" s="76"/>
      <c r="I6" s="76"/>
      <c r="J6" s="76"/>
      <c r="K6" s="76"/>
      <c r="L6" s="76"/>
    </row>
    <row r="7" spans="2:12" x14ac:dyDescent="0.3">
      <c r="B7" s="76"/>
      <c r="C7" s="77"/>
      <c r="E7" s="78" t="s">
        <v>485</v>
      </c>
      <c r="F7" s="80">
        <v>45658</v>
      </c>
      <c r="G7" s="240">
        <v>68000000</v>
      </c>
      <c r="H7" s="240">
        <f>G7</f>
        <v>68000000</v>
      </c>
      <c r="I7" s="76" t="s">
        <v>486</v>
      </c>
      <c r="J7" s="76" t="s">
        <v>486</v>
      </c>
      <c r="K7" s="241">
        <f>G7/4</f>
        <v>17000000</v>
      </c>
      <c r="L7" s="76"/>
    </row>
    <row r="8" spans="2:12" x14ac:dyDescent="0.3">
      <c r="B8" s="76"/>
      <c r="C8" s="77"/>
      <c r="E8" s="78" t="s">
        <v>487</v>
      </c>
      <c r="F8" s="80">
        <v>45658</v>
      </c>
      <c r="G8" s="240">
        <v>7000000</v>
      </c>
      <c r="H8" s="240">
        <f>G8</f>
        <v>7000000</v>
      </c>
      <c r="I8" s="76" t="s">
        <v>486</v>
      </c>
      <c r="J8" s="76" t="s">
        <v>486</v>
      </c>
      <c r="K8" s="241">
        <f>G8/4</f>
        <v>1750000</v>
      </c>
      <c r="L8" s="76"/>
    </row>
    <row r="9" spans="2:12" x14ac:dyDescent="0.3">
      <c r="B9" s="76"/>
      <c r="C9" s="77"/>
      <c r="E9" s="78" t="s">
        <v>488</v>
      </c>
      <c r="F9" s="80">
        <v>45658</v>
      </c>
      <c r="G9" s="240">
        <v>74000000</v>
      </c>
      <c r="H9" s="240">
        <f>G9</f>
        <v>74000000</v>
      </c>
      <c r="I9" s="76" t="s">
        <v>486</v>
      </c>
      <c r="J9" s="76" t="s">
        <v>486</v>
      </c>
      <c r="K9" s="241">
        <f>G9/4</f>
        <v>18500000</v>
      </c>
      <c r="L9" s="76"/>
    </row>
    <row r="10" spans="2:12" x14ac:dyDescent="0.3">
      <c r="B10" s="76"/>
      <c r="C10" s="77"/>
      <c r="E10" s="78" t="s">
        <v>489</v>
      </c>
      <c r="F10" s="80">
        <v>45658</v>
      </c>
      <c r="G10" s="240">
        <v>42000000</v>
      </c>
      <c r="H10" s="240">
        <f t="shared" ref="H10:H12" si="0">G10</f>
        <v>42000000</v>
      </c>
      <c r="I10" s="76" t="s">
        <v>486</v>
      </c>
      <c r="J10" s="76" t="s">
        <v>486</v>
      </c>
      <c r="K10" s="241">
        <f t="shared" ref="K10:K12" si="1">G10/4</f>
        <v>10500000</v>
      </c>
      <c r="L10" s="76"/>
    </row>
    <row r="11" spans="2:12" x14ac:dyDescent="0.3">
      <c r="B11" s="76"/>
      <c r="C11" s="77"/>
      <c r="E11" s="78" t="s">
        <v>490</v>
      </c>
      <c r="F11" s="80">
        <v>45658</v>
      </c>
      <c r="G11" s="240">
        <v>7000000</v>
      </c>
      <c r="H11" s="240">
        <f t="shared" si="0"/>
        <v>7000000</v>
      </c>
      <c r="I11" s="76" t="s">
        <v>486</v>
      </c>
      <c r="J11" s="76" t="s">
        <v>486</v>
      </c>
      <c r="K11" s="241">
        <f t="shared" si="1"/>
        <v>1750000</v>
      </c>
      <c r="L11" s="76"/>
    </row>
    <row r="12" spans="2:12" x14ac:dyDescent="0.3">
      <c r="B12" s="76"/>
      <c r="C12" s="77"/>
      <c r="E12" s="78" t="s">
        <v>491</v>
      </c>
      <c r="F12" s="80">
        <v>45658</v>
      </c>
      <c r="G12" s="240">
        <v>54000000</v>
      </c>
      <c r="H12" s="240">
        <f t="shared" si="0"/>
        <v>54000000</v>
      </c>
      <c r="I12" s="76" t="s">
        <v>486</v>
      </c>
      <c r="J12" s="76" t="s">
        <v>486</v>
      </c>
      <c r="K12" s="241">
        <f t="shared" si="1"/>
        <v>13500000</v>
      </c>
      <c r="L12" s="76"/>
    </row>
    <row r="13" spans="2:12" x14ac:dyDescent="0.3">
      <c r="B13" s="76"/>
      <c r="C13" s="77"/>
      <c r="D13" s="79" t="s">
        <v>470</v>
      </c>
      <c r="E13" s="78"/>
      <c r="F13" s="76"/>
      <c r="G13" s="76"/>
      <c r="H13" s="76"/>
      <c r="I13" s="76"/>
      <c r="J13" s="76"/>
      <c r="K13" s="81"/>
      <c r="L13" s="76"/>
    </row>
    <row r="14" spans="2:12" x14ac:dyDescent="0.3">
      <c r="B14" s="76"/>
      <c r="C14" s="77"/>
      <c r="E14" s="78" t="s">
        <v>169</v>
      </c>
      <c r="F14" s="76"/>
      <c r="G14" s="76"/>
      <c r="H14" s="76"/>
      <c r="I14" s="76"/>
      <c r="J14" s="76"/>
      <c r="K14" s="81"/>
      <c r="L14" s="76"/>
    </row>
    <row r="15" spans="2:12" x14ac:dyDescent="0.3">
      <c r="B15" s="76"/>
      <c r="C15" s="77"/>
      <c r="E15" s="78" t="s">
        <v>172</v>
      </c>
      <c r="F15" s="76"/>
      <c r="G15" s="76"/>
      <c r="H15" s="76"/>
      <c r="I15" s="76"/>
      <c r="J15" s="76"/>
      <c r="K15" s="81"/>
      <c r="L15" s="76"/>
    </row>
    <row r="16" spans="2:12" x14ac:dyDescent="0.3">
      <c r="B16" s="76"/>
      <c r="C16" s="77"/>
      <c r="D16" s="79" t="s">
        <v>471</v>
      </c>
      <c r="E16" s="78"/>
      <c r="F16" s="76"/>
      <c r="G16" s="76"/>
      <c r="H16" s="76"/>
      <c r="I16" s="76"/>
      <c r="J16" s="76"/>
      <c r="K16" s="81"/>
      <c r="L16" s="76"/>
    </row>
    <row r="17" spans="2:12" x14ac:dyDescent="0.3">
      <c r="B17" s="76"/>
      <c r="C17" s="77"/>
      <c r="E17" s="78" t="s">
        <v>169</v>
      </c>
      <c r="F17" s="76"/>
      <c r="G17" s="76"/>
      <c r="H17" s="76"/>
      <c r="I17" s="76"/>
      <c r="J17" s="76"/>
      <c r="K17" s="81"/>
      <c r="L17" s="76"/>
    </row>
    <row r="18" spans="2:12" x14ac:dyDescent="0.3">
      <c r="B18" s="76"/>
      <c r="C18" s="77"/>
      <c r="E18" s="78" t="s">
        <v>172</v>
      </c>
      <c r="F18" s="76"/>
      <c r="G18" s="76"/>
      <c r="H18" s="76"/>
      <c r="I18" s="76"/>
      <c r="J18" s="76"/>
      <c r="K18" s="81"/>
      <c r="L18" s="76"/>
    </row>
    <row r="19" spans="2:12" x14ac:dyDescent="0.3">
      <c r="B19" s="76"/>
      <c r="C19" s="77"/>
      <c r="D19" s="79" t="s">
        <v>472</v>
      </c>
      <c r="E19" s="78"/>
      <c r="F19" s="76"/>
      <c r="G19" s="76"/>
      <c r="H19" s="76"/>
      <c r="I19" s="76"/>
      <c r="J19" s="76"/>
      <c r="K19" s="81"/>
      <c r="L19" s="76"/>
    </row>
    <row r="20" spans="2:12" x14ac:dyDescent="0.3">
      <c r="B20" s="76"/>
      <c r="C20" s="77"/>
      <c r="E20" s="78" t="s">
        <v>169</v>
      </c>
      <c r="F20" s="76"/>
      <c r="G20" s="76"/>
      <c r="H20" s="76"/>
      <c r="I20" s="76"/>
      <c r="J20" s="76"/>
      <c r="K20" s="81"/>
      <c r="L20" s="76"/>
    </row>
    <row r="21" spans="2:12" x14ac:dyDescent="0.3">
      <c r="B21" s="76"/>
      <c r="C21" s="77"/>
      <c r="E21" s="78" t="s">
        <v>172</v>
      </c>
      <c r="F21" s="76"/>
      <c r="G21" s="76"/>
      <c r="H21" s="76"/>
      <c r="I21" s="76"/>
      <c r="J21" s="76"/>
      <c r="K21" s="81"/>
      <c r="L21" s="76"/>
    </row>
    <row r="22" spans="2:12" x14ac:dyDescent="0.3">
      <c r="B22" s="76"/>
      <c r="C22" s="77"/>
      <c r="D22" s="79" t="s">
        <v>473</v>
      </c>
      <c r="E22" s="78"/>
      <c r="F22" s="76"/>
      <c r="G22" s="76"/>
      <c r="H22" s="76"/>
      <c r="I22" s="76"/>
      <c r="J22" s="76"/>
      <c r="K22" s="81"/>
      <c r="L22" s="76"/>
    </row>
    <row r="23" spans="2:12" x14ac:dyDescent="0.3">
      <c r="B23" s="76"/>
      <c r="C23" s="77"/>
      <c r="E23" s="78" t="s">
        <v>169</v>
      </c>
      <c r="F23" s="76"/>
      <c r="G23" s="76"/>
      <c r="H23" s="76"/>
      <c r="I23" s="76"/>
      <c r="J23" s="76"/>
      <c r="K23" s="81"/>
      <c r="L23" s="76"/>
    </row>
    <row r="24" spans="2:12" x14ac:dyDescent="0.3">
      <c r="B24" s="76"/>
      <c r="C24" s="77"/>
      <c r="E24" s="78" t="s">
        <v>172</v>
      </c>
      <c r="F24" s="76"/>
      <c r="G24" s="76"/>
      <c r="H24" s="76"/>
      <c r="I24" s="76"/>
      <c r="J24" s="76"/>
      <c r="K24" s="81"/>
      <c r="L24" s="76"/>
    </row>
    <row r="25" spans="2:12" x14ac:dyDescent="0.3">
      <c r="B25" s="76"/>
      <c r="C25" s="77" t="s">
        <v>474</v>
      </c>
      <c r="E25" s="78"/>
      <c r="F25" s="76"/>
      <c r="G25" s="76"/>
      <c r="H25" s="76"/>
      <c r="I25" s="76"/>
      <c r="J25" s="76"/>
      <c r="K25" s="81"/>
      <c r="L25" s="76"/>
    </row>
    <row r="26" spans="2:12" x14ac:dyDescent="0.3">
      <c r="B26" s="76"/>
      <c r="C26" s="77"/>
      <c r="D26" s="79" t="s">
        <v>475</v>
      </c>
      <c r="E26" s="78"/>
      <c r="F26" s="76"/>
      <c r="G26" s="76"/>
      <c r="H26" s="76"/>
      <c r="I26" s="76"/>
      <c r="J26" s="76"/>
      <c r="K26" s="81"/>
      <c r="L26" s="76"/>
    </row>
    <row r="27" spans="2:12" x14ac:dyDescent="0.3">
      <c r="B27" s="76"/>
      <c r="C27" s="77"/>
      <c r="E27" s="78" t="s">
        <v>169</v>
      </c>
      <c r="F27" s="76"/>
      <c r="G27" s="76"/>
      <c r="H27" s="76"/>
      <c r="I27" s="76"/>
      <c r="J27" s="76"/>
      <c r="K27" s="81"/>
      <c r="L27" s="76"/>
    </row>
    <row r="28" spans="2:12" x14ac:dyDescent="0.3">
      <c r="B28" s="76"/>
      <c r="C28" s="77"/>
      <c r="E28" s="78" t="s">
        <v>172</v>
      </c>
      <c r="F28" s="76"/>
      <c r="G28" s="76"/>
      <c r="H28" s="76"/>
      <c r="I28" s="76"/>
      <c r="J28" s="76"/>
      <c r="K28" s="81"/>
      <c r="L28" s="76"/>
    </row>
    <row r="29" spans="2:12" x14ac:dyDescent="0.3">
      <c r="B29" s="76"/>
      <c r="C29" s="77"/>
      <c r="D29" s="79" t="s">
        <v>476</v>
      </c>
      <c r="E29" s="78"/>
      <c r="F29" s="76"/>
      <c r="G29" s="76"/>
      <c r="H29" s="76"/>
      <c r="I29" s="76"/>
      <c r="J29" s="76"/>
      <c r="K29" s="81"/>
      <c r="L29" s="76"/>
    </row>
    <row r="30" spans="2:12" x14ac:dyDescent="0.3">
      <c r="B30" s="76"/>
      <c r="C30" s="77"/>
      <c r="E30" s="78" t="s">
        <v>169</v>
      </c>
      <c r="F30" s="76"/>
      <c r="G30" s="76"/>
      <c r="H30" s="76"/>
      <c r="I30" s="76"/>
      <c r="J30" s="76"/>
      <c r="K30" s="81"/>
      <c r="L30" s="76"/>
    </row>
    <row r="31" spans="2:12" x14ac:dyDescent="0.3">
      <c r="B31" s="82"/>
      <c r="C31" s="83"/>
      <c r="D31" s="84"/>
      <c r="E31" s="85" t="s">
        <v>172</v>
      </c>
      <c r="F31" s="82"/>
      <c r="G31" s="82"/>
      <c r="H31" s="82"/>
      <c r="I31" s="82"/>
      <c r="J31" s="82"/>
      <c r="K31" s="81"/>
      <c r="L31" s="82"/>
    </row>
    <row r="32" spans="2:12" x14ac:dyDescent="0.3">
      <c r="B32" s="226" t="s">
        <v>477</v>
      </c>
      <c r="C32" s="227"/>
      <c r="D32" s="227"/>
      <c r="E32" s="227"/>
      <c r="F32" s="227"/>
      <c r="G32" s="227"/>
      <c r="H32" s="227"/>
      <c r="I32" s="227"/>
      <c r="J32" s="228"/>
      <c r="K32" s="81">
        <f>SUM(K7:K12)</f>
        <v>63000000</v>
      </c>
      <c r="L32" s="86"/>
    </row>
    <row r="33" spans="2:12" x14ac:dyDescent="0.3">
      <c r="B33" s="226" t="s">
        <v>478</v>
      </c>
      <c r="C33" s="227"/>
      <c r="D33" s="227"/>
      <c r="E33" s="227"/>
      <c r="F33" s="227"/>
      <c r="G33" s="227"/>
      <c r="H33" s="227"/>
      <c r="I33" s="227"/>
      <c r="J33" s="228"/>
      <c r="K33" s="81">
        <f>K32</f>
        <v>63000000</v>
      </c>
      <c r="L33" s="86"/>
    </row>
    <row r="34" spans="2:12" x14ac:dyDescent="0.3">
      <c r="B34" s="226" t="s">
        <v>479</v>
      </c>
      <c r="C34" s="227"/>
      <c r="D34" s="227"/>
      <c r="E34" s="227"/>
      <c r="F34" s="227"/>
      <c r="G34" s="227"/>
      <c r="H34" s="227"/>
      <c r="I34" s="227"/>
      <c r="J34" s="228"/>
      <c r="K34" s="81">
        <f>K32-K33</f>
        <v>0</v>
      </c>
      <c r="L34" s="86"/>
    </row>
    <row r="35" spans="2:12" x14ac:dyDescent="0.3">
      <c r="B35" s="87"/>
      <c r="C35" s="88" t="s">
        <v>480</v>
      </c>
      <c r="D35" s="89"/>
      <c r="E35" s="90"/>
      <c r="F35" s="87"/>
      <c r="G35" s="87"/>
      <c r="H35" s="87"/>
      <c r="I35" s="87"/>
      <c r="J35" s="87"/>
      <c r="K35" s="81"/>
      <c r="L35" s="87"/>
    </row>
    <row r="36" spans="2:12" x14ac:dyDescent="0.3">
      <c r="B36" s="76"/>
      <c r="C36" s="77"/>
      <c r="D36" s="79" t="s">
        <v>469</v>
      </c>
      <c r="E36" s="78"/>
      <c r="F36" s="76"/>
      <c r="G36" s="76"/>
      <c r="H36" s="76"/>
      <c r="I36" s="76"/>
      <c r="J36" s="76"/>
      <c r="K36" s="81"/>
      <c r="L36" s="76"/>
    </row>
    <row r="37" spans="2:12" x14ac:dyDescent="0.3">
      <c r="B37" s="76"/>
      <c r="C37" s="77"/>
      <c r="E37" s="78" t="s">
        <v>169</v>
      </c>
      <c r="F37" s="76"/>
      <c r="G37" s="76"/>
      <c r="H37" s="76"/>
      <c r="I37" s="76"/>
      <c r="J37" s="76"/>
      <c r="K37" s="81"/>
      <c r="L37" s="76"/>
    </row>
    <row r="38" spans="2:12" x14ac:dyDescent="0.3">
      <c r="B38" s="76"/>
      <c r="C38" s="77"/>
      <c r="E38" s="78" t="s">
        <v>172</v>
      </c>
      <c r="F38" s="76"/>
      <c r="G38" s="76"/>
      <c r="H38" s="76"/>
      <c r="I38" s="76"/>
      <c r="J38" s="76"/>
      <c r="K38" s="81"/>
      <c r="L38" s="76"/>
    </row>
    <row r="39" spans="2:12" x14ac:dyDescent="0.3">
      <c r="B39" s="76"/>
      <c r="C39" s="77"/>
      <c r="D39" s="79" t="s">
        <v>470</v>
      </c>
      <c r="E39" s="78"/>
      <c r="F39" s="76"/>
      <c r="G39" s="76"/>
      <c r="H39" s="76"/>
      <c r="I39" s="76"/>
      <c r="J39" s="76"/>
      <c r="K39" s="81"/>
      <c r="L39" s="76"/>
    </row>
    <row r="40" spans="2:12" x14ac:dyDescent="0.3">
      <c r="B40" s="76"/>
      <c r="C40" s="77"/>
      <c r="E40" s="78" t="s">
        <v>169</v>
      </c>
      <c r="F40" s="76"/>
      <c r="G40" s="76"/>
      <c r="H40" s="76"/>
      <c r="I40" s="76"/>
      <c r="J40" s="76"/>
      <c r="K40" s="81"/>
      <c r="L40" s="76"/>
    </row>
    <row r="41" spans="2:12" x14ac:dyDescent="0.3">
      <c r="B41" s="76"/>
      <c r="C41" s="77"/>
      <c r="E41" s="78" t="s">
        <v>172</v>
      </c>
      <c r="F41" s="76"/>
      <c r="G41" s="76"/>
      <c r="H41" s="76"/>
      <c r="I41" s="76"/>
      <c r="J41" s="76"/>
      <c r="K41" s="81"/>
      <c r="L41" s="76"/>
    </row>
    <row r="42" spans="2:12" x14ac:dyDescent="0.3">
      <c r="B42" s="76"/>
      <c r="C42" s="77"/>
      <c r="D42" s="79" t="s">
        <v>471</v>
      </c>
      <c r="E42" s="78"/>
      <c r="F42" s="76"/>
      <c r="G42" s="76"/>
      <c r="H42" s="76"/>
      <c r="I42" s="76"/>
      <c r="J42" s="76"/>
      <c r="K42" s="81"/>
      <c r="L42" s="76"/>
    </row>
    <row r="43" spans="2:12" x14ac:dyDescent="0.3">
      <c r="B43" s="76"/>
      <c r="C43" s="77"/>
      <c r="E43" s="78" t="s">
        <v>169</v>
      </c>
      <c r="F43" s="76"/>
      <c r="G43" s="76"/>
      <c r="H43" s="76"/>
      <c r="I43" s="76"/>
      <c r="J43" s="76"/>
      <c r="K43" s="81"/>
      <c r="L43" s="76"/>
    </row>
    <row r="44" spans="2:12" x14ac:dyDescent="0.3">
      <c r="B44" s="76"/>
      <c r="C44" s="77"/>
      <c r="E44" s="78" t="s">
        <v>172</v>
      </c>
      <c r="F44" s="76"/>
      <c r="G44" s="76"/>
      <c r="H44" s="76"/>
      <c r="I44" s="76"/>
      <c r="J44" s="76"/>
      <c r="K44" s="81"/>
      <c r="L44" s="76"/>
    </row>
    <row r="45" spans="2:12" x14ac:dyDescent="0.3">
      <c r="B45" s="76"/>
      <c r="C45" s="77"/>
      <c r="D45" s="79" t="s">
        <v>472</v>
      </c>
      <c r="E45" s="78"/>
      <c r="F45" s="76"/>
      <c r="G45" s="76"/>
      <c r="H45" s="76"/>
      <c r="I45" s="76"/>
      <c r="J45" s="76"/>
      <c r="K45" s="81"/>
      <c r="L45" s="76"/>
    </row>
    <row r="46" spans="2:12" x14ac:dyDescent="0.3">
      <c r="B46" s="76"/>
      <c r="C46" s="77"/>
      <c r="E46" s="78" t="s">
        <v>169</v>
      </c>
      <c r="F46" s="76"/>
      <c r="G46" s="76"/>
      <c r="H46" s="76"/>
      <c r="I46" s="76"/>
      <c r="J46" s="76"/>
      <c r="K46" s="81"/>
      <c r="L46" s="76"/>
    </row>
    <row r="47" spans="2:12" x14ac:dyDescent="0.3">
      <c r="B47" s="76"/>
      <c r="C47" s="77"/>
      <c r="E47" s="78" t="s">
        <v>172</v>
      </c>
      <c r="F47" s="76"/>
      <c r="G47" s="76"/>
      <c r="H47" s="76"/>
      <c r="I47" s="76"/>
      <c r="J47" s="76"/>
      <c r="K47" s="81"/>
      <c r="L47" s="76"/>
    </row>
    <row r="48" spans="2:12" x14ac:dyDescent="0.3">
      <c r="B48" s="76"/>
      <c r="C48" s="77"/>
      <c r="D48" s="79" t="s">
        <v>473</v>
      </c>
      <c r="E48" s="78"/>
      <c r="F48" s="76"/>
      <c r="G48" s="76"/>
      <c r="H48" s="76"/>
      <c r="I48" s="76"/>
      <c r="J48" s="76"/>
      <c r="K48" s="81"/>
      <c r="L48" s="76"/>
    </row>
    <row r="49" spans="2:12" x14ac:dyDescent="0.3">
      <c r="B49" s="76"/>
      <c r="C49" s="77"/>
      <c r="E49" s="78" t="s">
        <v>169</v>
      </c>
      <c r="F49" s="76"/>
      <c r="G49" s="76"/>
      <c r="H49" s="76"/>
      <c r="I49" s="76"/>
      <c r="J49" s="76"/>
      <c r="K49" s="81"/>
      <c r="L49" s="76"/>
    </row>
    <row r="50" spans="2:12" x14ac:dyDescent="0.3">
      <c r="B50" s="82"/>
      <c r="C50" s="83"/>
      <c r="D50" s="84"/>
      <c r="E50" s="85" t="s">
        <v>172</v>
      </c>
      <c r="F50" s="82"/>
      <c r="G50" s="82"/>
      <c r="H50" s="82"/>
      <c r="I50" s="82"/>
      <c r="J50" s="82"/>
      <c r="K50" s="81"/>
      <c r="L50" s="82"/>
    </row>
    <row r="51" spans="2:12" x14ac:dyDescent="0.3">
      <c r="B51" s="226" t="s">
        <v>481</v>
      </c>
      <c r="C51" s="227"/>
      <c r="D51" s="227"/>
      <c r="E51" s="227"/>
      <c r="F51" s="227"/>
      <c r="G51" s="227"/>
      <c r="H51" s="227"/>
      <c r="I51" s="227"/>
      <c r="J51" s="228"/>
      <c r="K51" s="81"/>
      <c r="L51" s="86"/>
    </row>
    <row r="52" spans="2:12" x14ac:dyDescent="0.3">
      <c r="B52" s="226" t="s">
        <v>482</v>
      </c>
      <c r="C52" s="227"/>
      <c r="D52" s="227"/>
      <c r="E52" s="227"/>
      <c r="F52" s="227"/>
      <c r="G52" s="227"/>
      <c r="H52" s="227"/>
      <c r="I52" s="227"/>
      <c r="J52" s="228"/>
      <c r="K52" s="81"/>
      <c r="L52" s="86"/>
    </row>
    <row r="53" spans="2:12" x14ac:dyDescent="0.3">
      <c r="B53" s="226" t="s">
        <v>483</v>
      </c>
      <c r="C53" s="227"/>
      <c r="D53" s="227"/>
      <c r="E53" s="227"/>
      <c r="F53" s="227"/>
      <c r="G53" s="227"/>
      <c r="H53" s="227"/>
      <c r="I53" s="227"/>
      <c r="J53" s="228"/>
      <c r="K53" s="81"/>
      <c r="L53" s="86"/>
    </row>
  </sheetData>
  <mergeCells count="15">
    <mergeCell ref="B51:J51"/>
    <mergeCell ref="B52:J52"/>
    <mergeCell ref="B53:J53"/>
    <mergeCell ref="K2:K3"/>
    <mergeCell ref="L2:L3"/>
    <mergeCell ref="C4:E4"/>
    <mergeCell ref="B32:J32"/>
    <mergeCell ref="B33:J33"/>
    <mergeCell ref="B34:J34"/>
    <mergeCell ref="B2:B3"/>
    <mergeCell ref="C2:E3"/>
    <mergeCell ref="F2:F3"/>
    <mergeCell ref="G2:G3"/>
    <mergeCell ref="H2:H3"/>
    <mergeCell ref="I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37D-C51B-4A0E-B7D1-734D53ACFE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Induk</vt:lpstr>
      <vt:lpstr>LAMP 1</vt:lpstr>
      <vt:lpstr>LAMP 1  HAL 2</vt:lpstr>
      <vt:lpstr>LAMP 1  HAL 3</vt:lpstr>
      <vt:lpstr>LAMP 2</vt:lpstr>
      <vt:lpstr>LAMP 3A</vt:lpstr>
      <vt:lpstr>LAMP 3A-4</vt:lpstr>
      <vt:lpstr>LAMP 3B</vt:lpstr>
      <vt:lpstr>LAMP 3C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M415dao</dc:creator>
  <cp:lastModifiedBy>asus M415dao</cp:lastModifiedBy>
  <dcterms:created xsi:type="dcterms:W3CDTF">2025-08-12T07:27:13Z</dcterms:created>
  <dcterms:modified xsi:type="dcterms:W3CDTF">2026-07-17T13:59:27Z</dcterms:modified>
</cp:coreProperties>
</file>